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A0A28161-0591-4E75-A761-42F55829E805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lan" sheetId="6" r:id="rId1"/>
    <sheet name="Planilha1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7" l="1"/>
  <c r="J25" i="7"/>
  <c r="J26" i="7"/>
  <c r="J23" i="7"/>
  <c r="H32" i="6" l="1"/>
  <c r="AU34" i="6"/>
  <c r="AX34" i="6" s="1"/>
  <c r="AU44" i="6"/>
  <c r="AX44" i="6" s="1"/>
  <c r="H47" i="6"/>
  <c r="H46" i="6"/>
  <c r="D46" i="6"/>
  <c r="H45" i="6"/>
  <c r="D44" i="6"/>
  <c r="H43" i="6"/>
  <c r="H42" i="6"/>
  <c r="D42" i="6"/>
  <c r="H41" i="6"/>
  <c r="H40" i="6"/>
  <c r="D40" i="6"/>
  <c r="H39" i="6"/>
  <c r="H38" i="6"/>
  <c r="D38" i="6"/>
  <c r="H37" i="6"/>
  <c r="H36" i="6"/>
  <c r="D36" i="6"/>
  <c r="H35" i="6"/>
  <c r="D34" i="6"/>
  <c r="H33" i="6"/>
  <c r="D32" i="6"/>
  <c r="H31" i="6"/>
  <c r="H30" i="6"/>
  <c r="D30" i="6"/>
  <c r="H29" i="6"/>
  <c r="H28" i="6"/>
  <c r="D28" i="6"/>
  <c r="H27" i="6"/>
  <c r="H26" i="6"/>
  <c r="D26" i="6"/>
  <c r="H25" i="6"/>
  <c r="H24" i="6"/>
  <c r="D24" i="6"/>
  <c r="H23" i="6"/>
  <c r="H22" i="6"/>
  <c r="D22" i="6"/>
  <c r="H21" i="6"/>
  <c r="H20" i="6"/>
  <c r="D20" i="6"/>
  <c r="H19" i="6"/>
  <c r="H18" i="6"/>
  <c r="D18" i="6"/>
  <c r="H17" i="6"/>
  <c r="H16" i="6"/>
  <c r="D16" i="6"/>
  <c r="H15" i="6"/>
  <c r="H14" i="6"/>
  <c r="D14" i="6"/>
  <c r="H13" i="6"/>
  <c r="H12" i="6"/>
  <c r="D12" i="6"/>
  <c r="H11" i="6"/>
  <c r="H10" i="6"/>
  <c r="D10" i="6"/>
  <c r="H9" i="6"/>
  <c r="H8" i="6"/>
  <c r="D8" i="6"/>
  <c r="H7" i="6"/>
  <c r="H6" i="6"/>
  <c r="D6" i="6"/>
  <c r="H5" i="6"/>
  <c r="H4" i="6"/>
  <c r="D4" i="6"/>
  <c r="H34" i="6" l="1"/>
  <c r="H44" i="6"/>
</calcChain>
</file>

<file path=xl/sharedStrings.xml><?xml version="1.0" encoding="utf-8"?>
<sst xmlns="http://schemas.openxmlformats.org/spreadsheetml/2006/main" count="209" uniqueCount="43">
  <si>
    <t>ATIVIDADE</t>
  </si>
  <si>
    <t>INTERDIÇÃO</t>
  </si>
  <si>
    <t>QTD</t>
  </si>
  <si>
    <t>INICIO</t>
  </si>
  <si>
    <t>TÉRMINO</t>
  </si>
  <si>
    <t>PLAN</t>
  </si>
  <si>
    <t>REAL</t>
  </si>
  <si>
    <t>SEMANA 01</t>
  </si>
  <si>
    <t>SEMANA 02</t>
  </si>
  <si>
    <t>SEMANA 03</t>
  </si>
  <si>
    <t>SEMANA 04</t>
  </si>
  <si>
    <t>SEMANA 05</t>
  </si>
  <si>
    <t>SEMANA 06</t>
  </si>
  <si>
    <t>SEMANA 07</t>
  </si>
  <si>
    <t>SEMANA 08</t>
  </si>
  <si>
    <t>SEMANA 09</t>
  </si>
  <si>
    <t>Feriado</t>
  </si>
  <si>
    <t>Remoção de pavimento asfáltico (m²)</t>
  </si>
  <si>
    <t>P</t>
  </si>
  <si>
    <t>FE</t>
  </si>
  <si>
    <t>R</t>
  </si>
  <si>
    <t>Escavação (m³)</t>
  </si>
  <si>
    <t>Desmonte de Rocha (m³)</t>
  </si>
  <si>
    <t xml:space="preserve"> Assentamento de tubulação (m)</t>
  </si>
  <si>
    <t>Implantação de PV (und)</t>
  </si>
  <si>
    <t>Reaterro compactado (m³)</t>
  </si>
  <si>
    <t>Sondagem (und)</t>
  </si>
  <si>
    <t xml:space="preserve"> </t>
  </si>
  <si>
    <t xml:space="preserve">  </t>
  </si>
  <si>
    <t>Reaterro compactado (m²)</t>
  </si>
  <si>
    <t>Escavação (m)</t>
  </si>
  <si>
    <t>Remoção de pavimento asfáltico (m)</t>
  </si>
  <si>
    <t>Reposição de pavimento asfáltico (m)</t>
  </si>
  <si>
    <r>
      <t>Rem. Pavimento Asfáltico</t>
    </r>
    <r>
      <rPr>
        <b/>
        <sz val="9"/>
        <color rgb="FF6B7280"/>
        <rFont val="Georgia"/>
        <family val="1"/>
      </rPr>
      <t>816,0</t>
    </r>
    <r>
      <rPr>
        <sz val="9"/>
        <color rgb="FF6B7280"/>
        <rFont val="Georgia"/>
        <family val="1"/>
      </rPr>
      <t> / 408 m²</t>
    </r>
  </si>
  <si>
    <r>
      <t>Implantação de PV</t>
    </r>
    <r>
      <rPr>
        <b/>
        <sz val="9"/>
        <color rgb="FF6B7280"/>
        <rFont val="Georgia"/>
        <family val="1"/>
      </rPr>
      <t>1,0</t>
    </r>
    <r>
      <rPr>
        <sz val="9"/>
        <color rgb="FF6B7280"/>
        <rFont val="Georgia"/>
        <family val="1"/>
      </rPr>
      <t> / 3 und</t>
    </r>
  </si>
  <si>
    <r>
      <t>Escavação</t>
    </r>
    <r>
      <rPr>
        <b/>
        <sz val="9"/>
        <color rgb="FF6B7280"/>
        <rFont val="Georgia"/>
        <family val="1"/>
      </rPr>
      <t>335,9</t>
    </r>
    <r>
      <rPr>
        <sz val="9"/>
        <color rgb="FF6B7280"/>
        <rFont val="Georgia"/>
        <family val="1"/>
      </rPr>
      <t> / 260 m³</t>
    </r>
  </si>
  <si>
    <r>
      <t>Reaterro Compactado</t>
    </r>
    <r>
      <rPr>
        <b/>
        <sz val="9"/>
        <color rgb="FF6B7280"/>
        <rFont val="Georgia"/>
        <family val="1"/>
      </rPr>
      <t>135,7</t>
    </r>
    <r>
      <rPr>
        <sz val="9"/>
        <color rgb="FF6B7280"/>
        <rFont val="Georgia"/>
        <family val="1"/>
      </rPr>
      <t> / 256 m³</t>
    </r>
  </si>
  <si>
    <r>
      <t>Assentamento de Tubulação</t>
    </r>
    <r>
      <rPr>
        <b/>
        <sz val="9"/>
        <color rgb="FF6B7280"/>
        <rFont val="Georgia"/>
        <family val="1"/>
      </rPr>
      <t>233,0</t>
    </r>
    <r>
      <rPr>
        <sz val="9"/>
        <color rgb="FF6B7280"/>
        <rFont val="Georgia"/>
        <family val="1"/>
      </rPr>
      <t> / 238 m</t>
    </r>
  </si>
  <si>
    <r>
      <t>Desmonte de Rocha</t>
    </r>
    <r>
      <rPr>
        <b/>
        <sz val="9"/>
        <color rgb="FF6B7280"/>
        <rFont val="Georgia"/>
        <family val="1"/>
      </rPr>
      <t>25,1</t>
    </r>
    <r>
      <rPr>
        <sz val="9"/>
        <color rgb="FF6B7280"/>
        <rFont val="Georgia"/>
        <family val="1"/>
      </rPr>
      <t> / 20 m³</t>
    </r>
  </si>
  <si>
    <r>
      <t>Reposição Pav. Asfáltico</t>
    </r>
    <r>
      <rPr>
        <b/>
        <sz val="9"/>
        <color rgb="FF6B7280"/>
        <rFont val="Georgia"/>
        <family val="1"/>
      </rPr>
      <t>0,0</t>
    </r>
    <r>
      <rPr>
        <sz val="9"/>
        <color rgb="FF6B7280"/>
        <rFont val="Georgia"/>
        <family val="1"/>
      </rPr>
      <t> / 238 m</t>
    </r>
  </si>
  <si>
    <t>T2</t>
  </si>
  <si>
    <r>
      <t>251,7</t>
    </r>
    <r>
      <rPr>
        <sz val="6"/>
        <color rgb="FF6B7280"/>
        <rFont val="Georgia"/>
        <family val="1"/>
      </rPr>
      <t> / 372</t>
    </r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</si>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</sst>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16]d\-mmm;@"/>
    <numFmt numFmtId="165" formatCode="0.0"/>
    <numFmt numFmtId="166" formatCode="0.00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name val="Aptos Narrow"/>
      <family val="2"/>
      <scheme val="minor"/>
    </font>
    <font>
      <b/>
      <sz val="6"/>
      <color rgb="FF6B7280"/>
      <name val="Georgia"/>
      <family val="1"/>
    </font>
    <font>
      <sz val="6"/>
      <color rgb="FF6B7280"/>
      <name val="Georgia"/>
      <family val="1"/>
    </font>
    <font>
      <b/>
      <sz val="9"/>
      <color rgb="FF8B1A1A"/>
      <name val="Georgia"/>
      <family val="1"/>
    </font>
    <font>
      <sz val="9"/>
      <color rgb="FF6B7280"/>
      <name val="Georgia"/>
      <family val="1"/>
    </font>
    <font>
      <b/>
      <sz val="9"/>
      <color rgb="FF6B7280"/>
      <name val="Georgia"/>
      <family val="1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C8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3">
    <border>
      <left/>
      <right/>
      <top/>
      <bottom/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 applyAlignment="1">
      <alignment horizontal="left" indent="1"/>
    </xf>
    <xf numFmtId="1" fontId="1" fillId="0" borderId="0" xfId="0" applyNumberFormat="1" applyFont="1"/>
    <xf numFmtId="0" fontId="1" fillId="0" borderId="0" xfId="0" applyFont="1" applyAlignment="1">
      <alignment vertical="center"/>
    </xf>
    <xf numFmtId="164" fontId="3" fillId="3" borderId="7" xfId="0" applyNumberFormat="1" applyFont="1" applyFill="1" applyBorder="1" applyAlignment="1">
      <alignment horizontal="center" vertical="center"/>
    </xf>
    <xf numFmtId="164" fontId="3" fillId="3" borderId="6" xfId="0" applyNumberFormat="1" applyFont="1" applyFill="1" applyBorder="1" applyAlignment="1">
      <alignment horizontal="center" vertical="center"/>
    </xf>
    <xf numFmtId="164" fontId="3" fillId="3" borderId="8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5" fontId="3" fillId="0" borderId="10" xfId="0" applyNumberFormat="1" applyFont="1" applyBorder="1" applyAlignment="1">
      <alignment horizontal="center" vertical="center"/>
    </xf>
    <xf numFmtId="165" fontId="3" fillId="0" borderId="9" xfId="0" applyNumberFormat="1" applyFont="1" applyBorder="1" applyAlignment="1">
      <alignment horizontal="center" vertical="center"/>
    </xf>
    <xf numFmtId="165" fontId="3" fillId="5" borderId="9" xfId="0" applyNumberFormat="1" applyFont="1" applyFill="1" applyBorder="1" applyAlignment="1">
      <alignment horizontal="center" vertical="center"/>
    </xf>
    <xf numFmtId="165" fontId="1" fillId="0" borderId="9" xfId="0" applyNumberFormat="1" applyFont="1" applyBorder="1" applyAlignment="1">
      <alignment horizontal="center" vertical="center"/>
    </xf>
    <xf numFmtId="165" fontId="1" fillId="0" borderId="11" xfId="0" applyNumberFormat="1" applyFont="1" applyBorder="1" applyAlignment="1">
      <alignment horizontal="center" vertical="center"/>
    </xf>
    <xf numFmtId="166" fontId="1" fillId="0" borderId="0" xfId="0" applyNumberFormat="1" applyFont="1"/>
    <xf numFmtId="0" fontId="1" fillId="3" borderId="14" xfId="0" applyFont="1" applyFill="1" applyBorder="1" applyAlignment="1">
      <alignment horizontal="center"/>
    </xf>
    <xf numFmtId="165" fontId="3" fillId="0" borderId="16" xfId="0" applyNumberFormat="1" applyFont="1" applyBorder="1" applyAlignment="1">
      <alignment horizontal="center" vertical="center"/>
    </xf>
    <xf numFmtId="165" fontId="1" fillId="0" borderId="16" xfId="0" applyNumberFormat="1" applyFont="1" applyBorder="1" applyAlignment="1">
      <alignment horizontal="center" vertical="center"/>
    </xf>
    <xf numFmtId="165" fontId="3" fillId="0" borderId="17" xfId="0" applyNumberFormat="1" applyFont="1" applyBorder="1" applyAlignment="1">
      <alignment horizontal="center" vertical="center"/>
    </xf>
    <xf numFmtId="165" fontId="1" fillId="0" borderId="18" xfId="0" applyNumberFormat="1" applyFont="1" applyBorder="1" applyAlignment="1">
      <alignment horizontal="center" vertical="center"/>
    </xf>
    <xf numFmtId="165" fontId="1" fillId="0" borderId="14" xfId="0" applyNumberFormat="1" applyFont="1" applyBorder="1" applyAlignment="1">
      <alignment horizontal="center" vertical="center"/>
    </xf>
    <xf numFmtId="165" fontId="3" fillId="5" borderId="14" xfId="0" applyNumberFormat="1" applyFont="1" applyFill="1" applyBorder="1" applyAlignment="1">
      <alignment horizontal="center" vertical="center"/>
    </xf>
    <xf numFmtId="165" fontId="1" fillId="0" borderId="19" xfId="0" applyNumberFormat="1" applyFont="1" applyBorder="1" applyAlignment="1">
      <alignment horizontal="center" vertical="center"/>
    </xf>
    <xf numFmtId="165" fontId="1" fillId="5" borderId="14" xfId="0" applyNumberFormat="1" applyFont="1" applyFill="1" applyBorder="1" applyAlignment="1">
      <alignment horizontal="center" vertical="center"/>
    </xf>
    <xf numFmtId="165" fontId="4" fillId="6" borderId="14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/>
    </xf>
    <xf numFmtId="165" fontId="3" fillId="0" borderId="21" xfId="0" applyNumberFormat="1" applyFont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165" fontId="3" fillId="0" borderId="22" xfId="0" applyNumberFormat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165" fontId="1" fillId="0" borderId="3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65" fontId="4" fillId="7" borderId="2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5" fontId="4" fillId="7" borderId="14" xfId="0" applyNumberFormat="1" applyFont="1" applyFill="1" applyBorder="1" applyAlignment="1">
      <alignment horizontal="center" vertical="center"/>
    </xf>
    <xf numFmtId="165" fontId="3" fillId="0" borderId="14" xfId="0" applyNumberFormat="1" applyFont="1" applyBorder="1" applyAlignment="1">
      <alignment horizontal="center" vertical="center"/>
    </xf>
    <xf numFmtId="165" fontId="4" fillId="8" borderId="14" xfId="0" applyNumberFormat="1" applyFont="1" applyFill="1" applyBorder="1" applyAlignment="1">
      <alignment horizontal="center" vertical="center"/>
    </xf>
    <xf numFmtId="165" fontId="4" fillId="9" borderId="14" xfId="0" applyNumberFormat="1" applyFont="1" applyFill="1" applyBorder="1" applyAlignment="1">
      <alignment horizontal="center" vertical="center"/>
    </xf>
    <xf numFmtId="165" fontId="4" fillId="10" borderId="14" xfId="0" applyNumberFormat="1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left" vertical="center" indent="1"/>
    </xf>
    <xf numFmtId="1" fontId="4" fillId="9" borderId="14" xfId="0" applyNumberFormat="1" applyFont="1" applyFill="1" applyBorder="1" applyAlignment="1">
      <alignment horizontal="center" vertical="center"/>
    </xf>
    <xf numFmtId="14" fontId="1" fillId="3" borderId="14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left" vertical="center" indent="1"/>
    </xf>
    <xf numFmtId="1" fontId="4" fillId="9" borderId="6" xfId="0" applyNumberFormat="1" applyFont="1" applyFill="1" applyBorder="1" applyAlignment="1">
      <alignment horizontal="center" vertical="center"/>
    </xf>
    <xf numFmtId="14" fontId="1" fillId="3" borderId="6" xfId="0" applyNumberFormat="1" applyFont="1" applyFill="1" applyBorder="1" applyAlignment="1">
      <alignment horizontal="center" vertical="center"/>
    </xf>
    <xf numFmtId="1" fontId="4" fillId="7" borderId="14" xfId="0" applyNumberFormat="1" applyFont="1" applyFill="1" applyBorder="1" applyAlignment="1">
      <alignment horizontal="center" vertical="center"/>
    </xf>
    <xf numFmtId="1" fontId="4" fillId="7" borderId="6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 indent="1"/>
    </xf>
    <xf numFmtId="0" fontId="4" fillId="9" borderId="13" xfId="0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center" vertical="center"/>
    </xf>
    <xf numFmtId="14" fontId="1" fillId="3" borderId="2" xfId="0" applyNumberFormat="1" applyFont="1" applyFill="1" applyBorder="1" applyAlignment="1">
      <alignment horizontal="center" vertical="center"/>
    </xf>
    <xf numFmtId="0" fontId="4" fillId="10" borderId="12" xfId="0" applyFont="1" applyFill="1" applyBorder="1" applyAlignment="1">
      <alignment horizontal="left" vertical="center" indent="1"/>
    </xf>
    <xf numFmtId="1" fontId="4" fillId="10" borderId="14" xfId="0" applyNumberFormat="1" applyFont="1" applyFill="1" applyBorder="1" applyAlignment="1">
      <alignment horizontal="center" vertical="center"/>
    </xf>
    <xf numFmtId="1" fontId="1" fillId="7" borderId="14" xfId="0" applyNumberFormat="1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left" vertical="center" indent="1"/>
    </xf>
    <xf numFmtId="1" fontId="4" fillId="8" borderId="14" xfId="0" applyNumberFormat="1" applyFont="1" applyFill="1" applyBorder="1" applyAlignment="1">
      <alignment horizontal="center" vertical="center"/>
    </xf>
    <xf numFmtId="1" fontId="1" fillId="5" borderId="14" xfId="0" applyNumberFormat="1" applyFont="1" applyFill="1" applyBorder="1" applyAlignment="1">
      <alignment horizontal="center" vertical="center"/>
    </xf>
    <xf numFmtId="1" fontId="1" fillId="5" borderId="6" xfId="0" applyNumberFormat="1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7" borderId="20" xfId="0" applyFont="1" applyFill="1" applyBorder="1" applyAlignment="1">
      <alignment horizontal="center" vertical="center"/>
    </xf>
    <xf numFmtId="1" fontId="1" fillId="7" borderId="2" xfId="0" applyNumberFormat="1" applyFon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left" vertical="center" indent="1"/>
    </xf>
    <xf numFmtId="1" fontId="1" fillId="6" borderId="1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2" fillId="2" borderId="6" xfId="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1" fontId="1" fillId="5" borderId="2" xfId="0" applyNumberFormat="1" applyFont="1" applyFill="1" applyBorder="1" applyAlignment="1">
      <alignment horizontal="center" vertical="center"/>
    </xf>
    <xf numFmtId="14" fontId="1" fillId="3" borderId="15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N49"/>
  <sheetViews>
    <sheetView showGridLines="0" zoomScaleNormal="100" workbookViewId="0">
      <pane xSplit="8" ySplit="3" topLeftCell="X4" activePane="bottomRight" state="frozen"/>
      <selection pane="topRight"/>
      <selection pane="bottomLeft"/>
      <selection pane="bottomRight" activeCell="AF17" sqref="AF17"/>
    </sheetView>
  </sheetViews>
  <sheetFormatPr defaultRowHeight="14.4" customHeight="1" x14ac:dyDescent="0.3"/>
  <cols>
    <col min="1" max="1" width="1.6640625" customWidth="1"/>
    <col min="2" max="2" width="36" style="1" customWidth="1"/>
    <col min="3" max="3" width="12.6640625" customWidth="1"/>
    <col min="4" max="4" width="4.44140625" style="2" customWidth="1"/>
    <col min="5" max="6" width="12.6640625" customWidth="1"/>
    <col min="7" max="7" width="5.44140625" customWidth="1"/>
    <col min="8" max="8" width="8.77734375" customWidth="1"/>
    <col min="9" max="11" width="6.88671875" customWidth="1"/>
    <col min="12" max="12" width="7.21875" customWidth="1"/>
    <col min="13" max="13" width="8.33203125" customWidth="1"/>
    <col min="14" max="14" width="6.88671875" customWidth="1"/>
    <col min="15" max="15" width="7.6640625" customWidth="1"/>
    <col min="16" max="16" width="7.21875" customWidth="1"/>
    <col min="17" max="22" width="7.6640625" customWidth="1"/>
    <col min="23" max="23" width="8" customWidth="1"/>
    <col min="24" max="24" width="7.6640625" customWidth="1"/>
    <col min="25" max="31" width="8" customWidth="1"/>
    <col min="32" max="32" width="7.6640625" customWidth="1"/>
    <col min="33" max="33" width="6.109375" customWidth="1"/>
    <col min="34" max="34" width="6.5546875" customWidth="1"/>
    <col min="35" max="35" width="8.33203125" customWidth="1"/>
    <col min="36" max="39" width="6.5546875" customWidth="1"/>
    <col min="40" max="40" width="7.21875" customWidth="1"/>
    <col min="41" max="41" width="6.88671875" customWidth="1"/>
    <col min="42" max="47" width="7.21875" customWidth="1"/>
    <col min="48" max="48" width="8.33203125" customWidth="1"/>
    <col min="49" max="58" width="6.6640625" customWidth="1"/>
  </cols>
  <sheetData>
    <row r="1" spans="2:66" ht="15" customHeight="1" x14ac:dyDescent="0.3"/>
    <row r="2" spans="2:66" s="3" customFormat="1" x14ac:dyDescent="0.3">
      <c r="B2" s="64" t="s">
        <v>0</v>
      </c>
      <c r="C2" s="66" t="s">
        <v>1</v>
      </c>
      <c r="D2" s="68" t="s">
        <v>2</v>
      </c>
      <c r="E2" s="66" t="s">
        <v>3</v>
      </c>
      <c r="F2" s="66" t="s">
        <v>4</v>
      </c>
      <c r="G2" s="66" t="s">
        <v>5</v>
      </c>
      <c r="H2" s="66" t="s">
        <v>6</v>
      </c>
      <c r="I2" s="75" t="s">
        <v>7</v>
      </c>
      <c r="J2" s="66"/>
      <c r="K2" s="66"/>
      <c r="L2" s="66"/>
      <c r="M2" s="66"/>
      <c r="N2" s="66" t="s">
        <v>8</v>
      </c>
      <c r="O2" s="66"/>
      <c r="P2" s="66"/>
      <c r="Q2" s="66"/>
      <c r="R2" s="66"/>
      <c r="S2" s="66" t="s">
        <v>9</v>
      </c>
      <c r="T2" s="66"/>
      <c r="U2" s="66"/>
      <c r="V2" s="66"/>
      <c r="W2" s="66"/>
      <c r="X2" s="66"/>
      <c r="Y2" s="66" t="s">
        <v>10</v>
      </c>
      <c r="Z2" s="66"/>
      <c r="AA2" s="66"/>
      <c r="AB2" s="66"/>
      <c r="AC2" s="66"/>
      <c r="AD2" s="66"/>
      <c r="AE2" s="66" t="s">
        <v>11</v>
      </c>
      <c r="AF2" s="66"/>
      <c r="AG2" s="66"/>
      <c r="AH2" s="66"/>
      <c r="AI2" s="66"/>
      <c r="AJ2" s="66" t="s">
        <v>12</v>
      </c>
      <c r="AK2" s="66"/>
      <c r="AL2" s="66"/>
      <c r="AM2" s="66"/>
      <c r="AN2" s="66"/>
      <c r="AO2" s="66"/>
      <c r="AP2" s="66" t="s">
        <v>13</v>
      </c>
      <c r="AQ2" s="66"/>
      <c r="AR2" s="66"/>
      <c r="AS2" s="66"/>
      <c r="AT2" s="66"/>
      <c r="AU2" s="66"/>
      <c r="AV2" s="66" t="s">
        <v>14</v>
      </c>
      <c r="AW2" s="66"/>
      <c r="AX2" s="66"/>
      <c r="AY2" s="66"/>
      <c r="AZ2" s="66"/>
      <c r="BA2" s="66"/>
      <c r="BB2" s="66" t="s">
        <v>15</v>
      </c>
      <c r="BC2" s="66"/>
      <c r="BD2" s="66"/>
      <c r="BE2" s="66"/>
      <c r="BF2" s="76"/>
    </row>
    <row r="3" spans="2:66" s="3" customFormat="1" ht="15" customHeight="1" x14ac:dyDescent="0.3">
      <c r="B3" s="65"/>
      <c r="C3" s="67"/>
      <c r="D3" s="69"/>
      <c r="E3" s="67"/>
      <c r="F3" s="67"/>
      <c r="G3" s="67"/>
      <c r="H3" s="67"/>
      <c r="I3" s="4">
        <v>46083</v>
      </c>
      <c r="J3" s="5">
        <v>46084</v>
      </c>
      <c r="K3" s="5">
        <v>46085</v>
      </c>
      <c r="L3" s="5">
        <v>46086</v>
      </c>
      <c r="M3" s="5" t="s">
        <v>16</v>
      </c>
      <c r="N3" s="5">
        <v>46090</v>
      </c>
      <c r="O3" s="5">
        <v>46091</v>
      </c>
      <c r="P3" s="5">
        <v>46092</v>
      </c>
      <c r="Q3" s="5">
        <v>46093</v>
      </c>
      <c r="R3" s="5">
        <v>46094</v>
      </c>
      <c r="S3" s="5">
        <v>46097</v>
      </c>
      <c r="T3" s="5">
        <v>46098</v>
      </c>
      <c r="U3" s="5">
        <v>46099</v>
      </c>
      <c r="V3" s="5">
        <v>46100</v>
      </c>
      <c r="W3" s="5">
        <v>46101</v>
      </c>
      <c r="X3" s="5">
        <v>46102</v>
      </c>
      <c r="Y3" s="5">
        <v>46104</v>
      </c>
      <c r="Z3" s="5">
        <v>46105</v>
      </c>
      <c r="AA3" s="5">
        <v>46106</v>
      </c>
      <c r="AB3" s="5">
        <v>46107</v>
      </c>
      <c r="AC3" s="5">
        <v>46108</v>
      </c>
      <c r="AD3" s="5">
        <v>46109</v>
      </c>
      <c r="AE3" s="5">
        <v>46111</v>
      </c>
      <c r="AF3" s="5">
        <v>46112</v>
      </c>
      <c r="AG3" s="5">
        <v>46113</v>
      </c>
      <c r="AH3" s="5">
        <v>46114</v>
      </c>
      <c r="AI3" s="5" t="s">
        <v>16</v>
      </c>
      <c r="AJ3" s="5">
        <v>46118</v>
      </c>
      <c r="AK3" s="5">
        <v>46119</v>
      </c>
      <c r="AL3" s="5">
        <v>46120</v>
      </c>
      <c r="AM3" s="5">
        <v>46121</v>
      </c>
      <c r="AN3" s="5">
        <v>46122</v>
      </c>
      <c r="AO3" s="5">
        <v>46123</v>
      </c>
      <c r="AP3" s="5">
        <v>46125</v>
      </c>
      <c r="AQ3" s="5">
        <v>46126</v>
      </c>
      <c r="AR3" s="5">
        <v>46127</v>
      </c>
      <c r="AS3" s="5">
        <v>46128</v>
      </c>
      <c r="AT3" s="5">
        <v>46129</v>
      </c>
      <c r="AU3" s="5">
        <v>46130</v>
      </c>
      <c r="AV3" s="5" t="s">
        <v>16</v>
      </c>
      <c r="AW3" s="5" t="s">
        <v>16</v>
      </c>
      <c r="AX3" s="5">
        <v>46134</v>
      </c>
      <c r="AY3" s="5">
        <v>46135</v>
      </c>
      <c r="AZ3" s="5">
        <v>46136</v>
      </c>
      <c r="BA3" s="5">
        <v>46137</v>
      </c>
      <c r="BB3" s="5">
        <v>46139</v>
      </c>
      <c r="BC3" s="5">
        <v>46140</v>
      </c>
      <c r="BD3" s="5">
        <v>46141</v>
      </c>
      <c r="BE3" s="5">
        <v>46142</v>
      </c>
      <c r="BF3" s="6" t="s">
        <v>16</v>
      </c>
    </row>
    <row r="4" spans="2:66" x14ac:dyDescent="0.3">
      <c r="B4" s="47" t="s">
        <v>17</v>
      </c>
      <c r="C4" s="70">
        <v>1</v>
      </c>
      <c r="D4" s="73">
        <f>SUM(K4:AC4)</f>
        <v>800</v>
      </c>
      <c r="E4" s="50">
        <v>46083</v>
      </c>
      <c r="F4" s="50">
        <v>46122</v>
      </c>
      <c r="G4" s="7" t="s">
        <v>18</v>
      </c>
      <c r="H4" s="8">
        <f>SUM(I4:BF4)</f>
        <v>800</v>
      </c>
      <c r="I4" s="9"/>
      <c r="J4" s="10"/>
      <c r="K4" s="11">
        <v>0</v>
      </c>
      <c r="L4" s="11">
        <v>112</v>
      </c>
      <c r="M4" s="12" t="s">
        <v>19</v>
      </c>
      <c r="N4" s="11">
        <v>68</v>
      </c>
      <c r="O4" s="11">
        <v>72</v>
      </c>
      <c r="P4" s="11">
        <v>0</v>
      </c>
      <c r="Q4" s="11">
        <v>82</v>
      </c>
      <c r="R4" s="11">
        <v>0</v>
      </c>
      <c r="S4" s="11">
        <v>0</v>
      </c>
      <c r="T4" s="11">
        <v>107</v>
      </c>
      <c r="U4" s="11">
        <v>0</v>
      </c>
      <c r="V4" s="11">
        <v>0</v>
      </c>
      <c r="W4" s="11">
        <v>0</v>
      </c>
      <c r="X4" s="11">
        <v>34</v>
      </c>
      <c r="Y4" s="11">
        <v>65</v>
      </c>
      <c r="Z4" s="11">
        <v>65</v>
      </c>
      <c r="AA4" s="11">
        <v>65</v>
      </c>
      <c r="AB4" s="11">
        <v>65</v>
      </c>
      <c r="AC4" s="11">
        <v>65</v>
      </c>
      <c r="AD4" s="12"/>
      <c r="AE4" s="12"/>
      <c r="AF4" s="12"/>
      <c r="AG4" s="12"/>
      <c r="AH4" s="12"/>
      <c r="AI4" s="12" t="s">
        <v>19</v>
      </c>
      <c r="AJ4" s="12"/>
      <c r="AK4" s="12"/>
      <c r="AL4" s="10"/>
      <c r="AM4" s="12"/>
      <c r="AN4" s="12"/>
      <c r="AO4" s="12"/>
      <c r="AP4" s="12"/>
      <c r="AQ4" s="12"/>
      <c r="AR4" s="12"/>
      <c r="AS4" s="12"/>
      <c r="AT4" s="12"/>
      <c r="AU4" s="12"/>
      <c r="AV4" s="12" t="s">
        <v>19</v>
      </c>
      <c r="AW4" s="12" t="s">
        <v>19</v>
      </c>
      <c r="AX4" s="10"/>
      <c r="AY4" s="10"/>
      <c r="AZ4" s="10"/>
      <c r="BA4" s="10"/>
      <c r="BB4" s="10"/>
      <c r="BC4" s="10"/>
      <c r="BD4" s="10"/>
      <c r="BE4" s="10"/>
      <c r="BF4" s="13" t="s">
        <v>19</v>
      </c>
      <c r="BG4" s="14"/>
      <c r="BH4" s="14"/>
      <c r="BI4" s="14"/>
      <c r="BJ4" s="14"/>
      <c r="BK4" s="14"/>
      <c r="BL4" s="14"/>
      <c r="BM4" s="14"/>
      <c r="BN4" s="14"/>
    </row>
    <row r="5" spans="2:66" x14ac:dyDescent="0.3">
      <c r="B5" s="39"/>
      <c r="C5" s="71"/>
      <c r="D5" s="56"/>
      <c r="E5" s="41"/>
      <c r="F5" s="74"/>
      <c r="G5" s="15" t="s">
        <v>20</v>
      </c>
      <c r="H5" s="15">
        <f t="shared" ref="H5:H47" si="0">SUM(I5:BF5)</f>
        <v>869</v>
      </c>
      <c r="I5" s="16"/>
      <c r="J5" s="16"/>
      <c r="K5" s="16">
        <v>0</v>
      </c>
      <c r="L5" s="16">
        <v>112</v>
      </c>
      <c r="M5" s="16"/>
      <c r="N5" s="16">
        <v>68</v>
      </c>
      <c r="O5" s="16">
        <v>72</v>
      </c>
      <c r="P5" s="16">
        <v>0</v>
      </c>
      <c r="Q5" s="16">
        <v>82</v>
      </c>
      <c r="R5" s="16">
        <v>0</v>
      </c>
      <c r="S5" s="16">
        <v>0</v>
      </c>
      <c r="T5" s="16">
        <v>107</v>
      </c>
      <c r="U5" s="16">
        <v>0</v>
      </c>
      <c r="V5" s="16">
        <v>0</v>
      </c>
      <c r="W5" s="16">
        <v>0</v>
      </c>
      <c r="X5" s="16">
        <v>34</v>
      </c>
      <c r="Y5" s="17">
        <v>112</v>
      </c>
      <c r="Z5" s="17"/>
      <c r="AA5" s="17">
        <v>24</v>
      </c>
      <c r="AB5" s="17">
        <v>58</v>
      </c>
      <c r="AC5" s="17">
        <v>110</v>
      </c>
      <c r="AD5" s="17"/>
      <c r="AE5" s="17">
        <v>20</v>
      </c>
      <c r="AF5" s="17"/>
      <c r="AG5" s="17"/>
      <c r="AH5" s="17"/>
      <c r="AI5" s="16"/>
      <c r="AJ5" s="17">
        <v>30</v>
      </c>
      <c r="AK5" s="17">
        <v>40</v>
      </c>
      <c r="AL5" s="16">
        <v>256</v>
      </c>
      <c r="AM5" s="17"/>
      <c r="AN5" s="17"/>
      <c r="AO5" s="17"/>
      <c r="AP5" s="17"/>
      <c r="AQ5" s="17"/>
      <c r="AR5" s="17">
        <v>-256</v>
      </c>
      <c r="AS5" s="17"/>
      <c r="AT5" s="17"/>
      <c r="AU5" s="17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8"/>
      <c r="BG5" s="14"/>
      <c r="BH5" s="14"/>
      <c r="BI5" s="14"/>
      <c r="BJ5" s="14"/>
      <c r="BK5" s="14"/>
      <c r="BL5" s="14"/>
      <c r="BM5" s="14"/>
      <c r="BN5" s="14"/>
    </row>
    <row r="6" spans="2:66" x14ac:dyDescent="0.3">
      <c r="B6" s="39" t="s">
        <v>21</v>
      </c>
      <c r="C6" s="71"/>
      <c r="D6" s="56">
        <f>SUM(N6:AD6)</f>
        <v>422.00000000000011</v>
      </c>
      <c r="E6" s="41">
        <v>46083</v>
      </c>
      <c r="F6" s="41">
        <v>46122</v>
      </c>
      <c r="G6" s="15" t="s">
        <v>18</v>
      </c>
      <c r="H6" s="15">
        <f t="shared" si="0"/>
        <v>422.00000000000011</v>
      </c>
      <c r="I6" s="19"/>
      <c r="J6" s="20"/>
      <c r="K6" s="20"/>
      <c r="L6" s="20"/>
      <c r="M6" s="20" t="s">
        <v>19</v>
      </c>
      <c r="N6" s="21">
        <v>48</v>
      </c>
      <c r="O6" s="21">
        <v>42</v>
      </c>
      <c r="P6" s="21">
        <v>25</v>
      </c>
      <c r="Q6" s="21">
        <v>20</v>
      </c>
      <c r="R6" s="21">
        <v>20</v>
      </c>
      <c r="S6" s="21">
        <v>34</v>
      </c>
      <c r="T6" s="21">
        <v>13</v>
      </c>
      <c r="U6" s="21">
        <v>28</v>
      </c>
      <c r="V6" s="21">
        <v>25</v>
      </c>
      <c r="W6" s="21">
        <v>15</v>
      </c>
      <c r="X6" s="21">
        <v>24</v>
      </c>
      <c r="Y6" s="21">
        <v>0</v>
      </c>
      <c r="Z6" s="21">
        <v>25.6</v>
      </c>
      <c r="AA6" s="21">
        <v>25.6</v>
      </c>
      <c r="AB6" s="21">
        <v>25.6</v>
      </c>
      <c r="AC6" s="21">
        <v>25.6</v>
      </c>
      <c r="AD6" s="21">
        <v>25.6</v>
      </c>
      <c r="AE6" s="20"/>
      <c r="AF6" s="20"/>
      <c r="AG6" s="20"/>
      <c r="AH6" s="20"/>
      <c r="AI6" s="20" t="s">
        <v>19</v>
      </c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 t="s">
        <v>19</v>
      </c>
      <c r="AW6" s="20" t="s">
        <v>19</v>
      </c>
      <c r="AX6" s="20"/>
      <c r="AY6" s="20"/>
      <c r="AZ6" s="20"/>
      <c r="BA6" s="20"/>
      <c r="BB6" s="20"/>
      <c r="BC6" s="20"/>
      <c r="BD6" s="20"/>
      <c r="BE6" s="20"/>
      <c r="BF6" s="22" t="s">
        <v>19</v>
      </c>
      <c r="BG6" s="14"/>
      <c r="BH6" s="14"/>
      <c r="BI6" s="14"/>
      <c r="BJ6" s="14"/>
      <c r="BK6" s="14"/>
      <c r="BL6" s="14"/>
      <c r="BM6" s="14"/>
      <c r="BN6" s="14"/>
    </row>
    <row r="7" spans="2:66" x14ac:dyDescent="0.3">
      <c r="B7" s="39"/>
      <c r="C7" s="71"/>
      <c r="D7" s="56"/>
      <c r="E7" s="41"/>
      <c r="F7" s="41"/>
      <c r="G7" s="15" t="s">
        <v>20</v>
      </c>
      <c r="H7" s="15">
        <f t="shared" si="0"/>
        <v>473.4</v>
      </c>
      <c r="I7" s="16"/>
      <c r="J7" s="16"/>
      <c r="K7" s="16"/>
      <c r="L7" s="16"/>
      <c r="M7" s="16"/>
      <c r="N7" s="16">
        <v>47.88</v>
      </c>
      <c r="O7" s="16">
        <v>41.58</v>
      </c>
      <c r="P7" s="16">
        <v>25.2</v>
      </c>
      <c r="Q7" s="16">
        <v>20.16</v>
      </c>
      <c r="R7" s="16">
        <v>20.16</v>
      </c>
      <c r="S7" s="16">
        <v>34.020000000000003</v>
      </c>
      <c r="T7" s="16">
        <v>12.6</v>
      </c>
      <c r="U7" s="16">
        <v>27.72</v>
      </c>
      <c r="V7" s="16">
        <v>25.2</v>
      </c>
      <c r="W7" s="16">
        <v>15.12</v>
      </c>
      <c r="X7" s="16">
        <v>24</v>
      </c>
      <c r="Y7" s="17"/>
      <c r="Z7" s="17"/>
      <c r="AA7" s="17">
        <v>28.98</v>
      </c>
      <c r="AB7" s="17">
        <v>35.28</v>
      </c>
      <c r="AC7" s="17">
        <v>26</v>
      </c>
      <c r="AD7" s="17">
        <v>58</v>
      </c>
      <c r="AE7" s="17"/>
      <c r="AF7" s="17"/>
      <c r="AG7" s="17"/>
      <c r="AH7" s="17"/>
      <c r="AI7" s="16"/>
      <c r="AJ7" s="17"/>
      <c r="AK7" s="17"/>
      <c r="AL7" s="16">
        <v>31.5</v>
      </c>
      <c r="AM7" s="17"/>
      <c r="AN7" s="17"/>
      <c r="AO7" s="17"/>
      <c r="AP7" s="17"/>
      <c r="AQ7" s="17"/>
      <c r="AR7" s="17"/>
      <c r="AS7" s="17"/>
      <c r="AT7" s="17"/>
      <c r="AU7" s="17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8"/>
      <c r="BG7" s="14"/>
      <c r="BH7" s="14"/>
      <c r="BI7" s="14"/>
      <c r="BJ7" s="14"/>
      <c r="BK7" s="14"/>
      <c r="BL7" s="14"/>
      <c r="BM7" s="14"/>
      <c r="BN7" s="14"/>
    </row>
    <row r="8" spans="2:66" x14ac:dyDescent="0.3">
      <c r="B8" s="39" t="s">
        <v>22</v>
      </c>
      <c r="C8" s="71"/>
      <c r="D8" s="56">
        <f>SUM(O8:AK8)</f>
        <v>63.3</v>
      </c>
      <c r="E8" s="41">
        <v>46084</v>
      </c>
      <c r="F8" s="41">
        <v>46125</v>
      </c>
      <c r="G8" s="15" t="s">
        <v>18</v>
      </c>
      <c r="H8" s="15">
        <f t="shared" si="0"/>
        <v>63.3</v>
      </c>
      <c r="I8" s="19"/>
      <c r="J8" s="20"/>
      <c r="K8" s="20"/>
      <c r="L8" s="20"/>
      <c r="M8" s="20" t="s">
        <v>19</v>
      </c>
      <c r="N8" s="20"/>
      <c r="O8" s="23">
        <v>4.8</v>
      </c>
      <c r="P8" s="23">
        <v>5</v>
      </c>
      <c r="Q8" s="23">
        <v>5</v>
      </c>
      <c r="R8" s="23">
        <v>5</v>
      </c>
      <c r="S8" s="23">
        <v>1</v>
      </c>
      <c r="T8" s="23">
        <v>1</v>
      </c>
      <c r="U8" s="23">
        <v>2</v>
      </c>
      <c r="V8" s="23">
        <v>0</v>
      </c>
      <c r="W8" s="23">
        <v>3</v>
      </c>
      <c r="X8" s="23">
        <v>5</v>
      </c>
      <c r="Y8" s="23">
        <v>3</v>
      </c>
      <c r="Z8" s="23">
        <v>2</v>
      </c>
      <c r="AA8" s="23">
        <v>3</v>
      </c>
      <c r="AB8" s="23">
        <v>2</v>
      </c>
      <c r="AC8" s="23">
        <v>3</v>
      </c>
      <c r="AD8" s="23">
        <v>2</v>
      </c>
      <c r="AE8" s="23">
        <v>3</v>
      </c>
      <c r="AF8" s="23">
        <v>2</v>
      </c>
      <c r="AG8" s="23">
        <v>3</v>
      </c>
      <c r="AH8" s="23">
        <v>2</v>
      </c>
      <c r="AI8" s="20" t="s">
        <v>19</v>
      </c>
      <c r="AJ8" s="23">
        <v>2</v>
      </c>
      <c r="AK8" s="23">
        <v>4.5</v>
      </c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 t="s">
        <v>19</v>
      </c>
      <c r="AW8" s="20" t="s">
        <v>19</v>
      </c>
      <c r="AX8" s="20"/>
      <c r="AY8" s="20"/>
      <c r="AZ8" s="20"/>
      <c r="BA8" s="20"/>
      <c r="BB8" s="20"/>
      <c r="BC8" s="20"/>
      <c r="BD8" s="20"/>
      <c r="BE8" s="20"/>
      <c r="BF8" s="22" t="s">
        <v>19</v>
      </c>
      <c r="BG8" s="14"/>
      <c r="BH8" s="14"/>
      <c r="BI8" s="14"/>
      <c r="BJ8" s="14"/>
      <c r="BK8" s="14"/>
      <c r="BL8" s="14"/>
      <c r="BM8" s="14"/>
      <c r="BN8" s="14"/>
    </row>
    <row r="9" spans="2:66" x14ac:dyDescent="0.3">
      <c r="B9" s="39"/>
      <c r="C9" s="71"/>
      <c r="D9" s="56"/>
      <c r="E9" s="41"/>
      <c r="F9" s="41"/>
      <c r="G9" s="15" t="s">
        <v>20</v>
      </c>
      <c r="H9" s="15">
        <f t="shared" si="0"/>
        <v>94.259999999999991</v>
      </c>
      <c r="I9" s="16"/>
      <c r="J9" s="16"/>
      <c r="K9" s="16"/>
      <c r="L9" s="16"/>
      <c r="M9" s="16"/>
      <c r="N9" s="16"/>
      <c r="O9" s="16">
        <v>4.8</v>
      </c>
      <c r="P9" s="16">
        <v>5</v>
      </c>
      <c r="Q9" s="16">
        <v>5</v>
      </c>
      <c r="R9" s="16">
        <v>5</v>
      </c>
      <c r="S9" s="16">
        <v>0.94</v>
      </c>
      <c r="T9" s="16">
        <v>0.9</v>
      </c>
      <c r="U9" s="16">
        <v>1.5</v>
      </c>
      <c r="V9" s="16">
        <v>0</v>
      </c>
      <c r="W9" s="16">
        <v>3.2</v>
      </c>
      <c r="X9" s="16">
        <v>5.2</v>
      </c>
      <c r="Y9" s="17"/>
      <c r="Z9" s="17">
        <v>14</v>
      </c>
      <c r="AA9" s="17">
        <v>9.6</v>
      </c>
      <c r="AB9" s="17">
        <v>6.72</v>
      </c>
      <c r="AC9" s="17">
        <v>19.2</v>
      </c>
      <c r="AD9" s="17">
        <v>3</v>
      </c>
      <c r="AE9" s="17">
        <v>3.6</v>
      </c>
      <c r="AF9" s="17"/>
      <c r="AG9" s="17"/>
      <c r="AH9" s="17">
        <v>3.6</v>
      </c>
      <c r="AI9" s="16"/>
      <c r="AJ9" s="17">
        <v>1.5</v>
      </c>
      <c r="AK9" s="17"/>
      <c r="AL9" s="16">
        <v>1.5</v>
      </c>
      <c r="AM9" s="17"/>
      <c r="AN9" s="17"/>
      <c r="AO9" s="17"/>
      <c r="AP9" s="17"/>
      <c r="AQ9" s="17"/>
      <c r="AR9" s="17"/>
      <c r="AS9" s="17"/>
      <c r="AT9" s="17"/>
      <c r="AU9" s="17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8"/>
      <c r="BG9" s="14"/>
      <c r="BH9" s="14"/>
      <c r="BI9" s="14"/>
      <c r="BJ9" s="14"/>
      <c r="BK9" s="14"/>
      <c r="BL9" s="14"/>
      <c r="BM9" s="14"/>
      <c r="BN9" s="14"/>
    </row>
    <row r="10" spans="2:66" x14ac:dyDescent="0.3">
      <c r="B10" s="62" t="s">
        <v>23</v>
      </c>
      <c r="C10" s="71"/>
      <c r="D10" s="63">
        <f>SUM(N10:AN10)</f>
        <v>400</v>
      </c>
      <c r="E10" s="41">
        <v>46085</v>
      </c>
      <c r="F10" s="41">
        <v>46126</v>
      </c>
      <c r="G10" s="15" t="s">
        <v>18</v>
      </c>
      <c r="H10" s="15">
        <f t="shared" si="0"/>
        <v>400</v>
      </c>
      <c r="I10" s="19"/>
      <c r="J10" s="20"/>
      <c r="K10" s="20"/>
      <c r="L10" s="20"/>
      <c r="M10" s="20" t="s">
        <v>19</v>
      </c>
      <c r="N10" s="24">
        <v>30</v>
      </c>
      <c r="O10" s="24">
        <v>6</v>
      </c>
      <c r="P10" s="24">
        <v>30</v>
      </c>
      <c r="Q10" s="24">
        <v>12</v>
      </c>
      <c r="R10" s="24">
        <v>6</v>
      </c>
      <c r="S10" s="24">
        <v>6</v>
      </c>
      <c r="T10" s="24">
        <v>24</v>
      </c>
      <c r="U10" s="24">
        <v>12</v>
      </c>
      <c r="V10" s="24">
        <v>0</v>
      </c>
      <c r="W10" s="24">
        <v>42</v>
      </c>
      <c r="X10" s="24">
        <v>12</v>
      </c>
      <c r="Y10" s="24">
        <v>0</v>
      </c>
      <c r="Z10" s="24">
        <v>17</v>
      </c>
      <c r="AA10" s="24">
        <v>17</v>
      </c>
      <c r="AB10" s="24">
        <v>17</v>
      </c>
      <c r="AC10" s="24">
        <v>17</v>
      </c>
      <c r="AD10" s="24">
        <v>17</v>
      </c>
      <c r="AE10" s="24">
        <v>17</v>
      </c>
      <c r="AF10" s="24">
        <v>17</v>
      </c>
      <c r="AG10" s="24">
        <v>17</v>
      </c>
      <c r="AH10" s="24">
        <v>17</v>
      </c>
      <c r="AI10" s="20" t="s">
        <v>19</v>
      </c>
      <c r="AK10" s="24">
        <v>36</v>
      </c>
      <c r="AL10" s="24">
        <v>18</v>
      </c>
      <c r="AM10" s="24">
        <v>13</v>
      </c>
      <c r="AN10" s="24"/>
      <c r="AO10" s="20"/>
      <c r="AP10" s="20"/>
      <c r="AQ10" s="20"/>
      <c r="AR10" s="20"/>
      <c r="AS10" s="20"/>
      <c r="AT10" s="20"/>
      <c r="AU10" s="20"/>
      <c r="AV10" s="20" t="s">
        <v>19</v>
      </c>
      <c r="AW10" s="20" t="s">
        <v>19</v>
      </c>
      <c r="AX10" s="20"/>
      <c r="AY10" s="20"/>
      <c r="AZ10" s="20"/>
      <c r="BA10" s="20"/>
      <c r="BB10" s="20"/>
      <c r="BC10" s="20"/>
      <c r="BD10" s="20"/>
      <c r="BE10" s="20"/>
      <c r="BF10" s="22" t="s">
        <v>19</v>
      </c>
      <c r="BG10" s="14"/>
      <c r="BH10" s="14"/>
      <c r="BI10" s="14"/>
      <c r="BJ10" s="14"/>
      <c r="BK10" s="14"/>
      <c r="BL10" s="14"/>
      <c r="BM10" s="14"/>
      <c r="BN10" s="14"/>
    </row>
    <row r="11" spans="2:66" x14ac:dyDescent="0.3">
      <c r="B11" s="62"/>
      <c r="C11" s="71"/>
      <c r="D11" s="63"/>
      <c r="E11" s="41"/>
      <c r="F11" s="41"/>
      <c r="G11" s="15" t="s">
        <v>20</v>
      </c>
      <c r="H11" s="15">
        <f t="shared" si="0"/>
        <v>400</v>
      </c>
      <c r="I11" s="16"/>
      <c r="J11" s="16"/>
      <c r="K11" s="16"/>
      <c r="L11" s="16"/>
      <c r="M11" s="16"/>
      <c r="N11" s="16">
        <v>30</v>
      </c>
      <c r="O11" s="16">
        <v>6</v>
      </c>
      <c r="P11" s="16">
        <v>30</v>
      </c>
      <c r="Q11" s="16">
        <v>12</v>
      </c>
      <c r="R11" s="16">
        <v>6</v>
      </c>
      <c r="S11" s="16">
        <v>6</v>
      </c>
      <c r="T11" s="16">
        <v>24</v>
      </c>
      <c r="U11" s="16">
        <v>12</v>
      </c>
      <c r="V11" s="16">
        <v>0</v>
      </c>
      <c r="W11" s="16">
        <v>42</v>
      </c>
      <c r="X11" s="16">
        <v>12</v>
      </c>
      <c r="Y11" s="17"/>
      <c r="Z11" s="17"/>
      <c r="AA11" s="17">
        <v>24</v>
      </c>
      <c r="AB11" s="17">
        <v>36</v>
      </c>
      <c r="AC11" s="17">
        <v>12</v>
      </c>
      <c r="AD11" s="17">
        <v>30</v>
      </c>
      <c r="AE11" s="17"/>
      <c r="AF11" s="17">
        <v>24</v>
      </c>
      <c r="AG11" s="17">
        <v>12</v>
      </c>
      <c r="AH11" s="17"/>
      <c r="AI11" s="16"/>
      <c r="AJ11" s="17"/>
      <c r="AK11" s="17">
        <v>36</v>
      </c>
      <c r="AL11" s="16">
        <v>18</v>
      </c>
      <c r="AM11" s="17">
        <v>30</v>
      </c>
      <c r="AN11" s="17"/>
      <c r="AO11" s="17"/>
      <c r="AP11" s="17"/>
      <c r="AQ11" s="17">
        <v>-2</v>
      </c>
      <c r="AR11" s="17"/>
      <c r="AS11" s="17"/>
      <c r="AT11" s="17"/>
      <c r="AU11" s="17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8"/>
      <c r="BG11" s="14"/>
      <c r="BH11" s="14"/>
      <c r="BI11" s="14"/>
      <c r="BJ11" s="14"/>
      <c r="BK11" s="14"/>
      <c r="BL11" s="14"/>
      <c r="BM11" s="14"/>
      <c r="BN11" s="14"/>
    </row>
    <row r="12" spans="2:66" x14ac:dyDescent="0.3">
      <c r="B12" s="39" t="s">
        <v>24</v>
      </c>
      <c r="C12" s="71"/>
      <c r="D12" s="56">
        <f>SUM(R12:AM12)</f>
        <v>5</v>
      </c>
      <c r="E12" s="41">
        <v>46090</v>
      </c>
      <c r="F12" s="41">
        <v>46126</v>
      </c>
      <c r="G12" s="15" t="s">
        <v>18</v>
      </c>
      <c r="H12" s="15">
        <f t="shared" si="0"/>
        <v>5</v>
      </c>
      <c r="I12" s="19"/>
      <c r="J12" s="20"/>
      <c r="K12" s="20"/>
      <c r="L12" s="20"/>
      <c r="M12" s="20" t="s">
        <v>19</v>
      </c>
      <c r="N12" s="20"/>
      <c r="O12" s="20"/>
      <c r="P12" s="20"/>
      <c r="Q12" s="20"/>
      <c r="R12" s="23">
        <v>1</v>
      </c>
      <c r="S12" s="20"/>
      <c r="T12" s="20"/>
      <c r="U12" s="20"/>
      <c r="V12" s="23">
        <v>1</v>
      </c>
      <c r="W12" s="20"/>
      <c r="X12" s="20"/>
      <c r="Y12" s="20"/>
      <c r="Z12" s="23">
        <v>1</v>
      </c>
      <c r="AA12" s="20"/>
      <c r="AB12" s="20"/>
      <c r="AC12" s="20"/>
      <c r="AD12" s="20"/>
      <c r="AE12" s="20"/>
      <c r="AF12" s="20"/>
      <c r="AG12" s="23">
        <v>1</v>
      </c>
      <c r="AH12" s="20"/>
      <c r="AI12" s="20" t="s">
        <v>19</v>
      </c>
      <c r="AJ12" s="20"/>
      <c r="AK12" s="20"/>
      <c r="AL12" s="20"/>
      <c r="AM12" s="23">
        <v>1</v>
      </c>
      <c r="AN12" s="20"/>
      <c r="AO12" s="20"/>
      <c r="AP12" s="20"/>
      <c r="AQ12" s="20"/>
      <c r="AR12" s="20"/>
      <c r="AS12" s="20"/>
      <c r="AT12" s="20"/>
      <c r="AU12" s="20"/>
      <c r="AV12" s="20" t="s">
        <v>19</v>
      </c>
      <c r="AW12" s="20" t="s">
        <v>19</v>
      </c>
      <c r="AX12" s="20"/>
      <c r="AY12" s="20"/>
      <c r="AZ12" s="20"/>
      <c r="BA12" s="20"/>
      <c r="BB12" s="20"/>
      <c r="BC12" s="20"/>
      <c r="BD12" s="20"/>
      <c r="BE12" s="20"/>
      <c r="BF12" s="22" t="s">
        <v>19</v>
      </c>
      <c r="BG12" s="14"/>
      <c r="BH12" s="14"/>
      <c r="BI12" s="14"/>
      <c r="BJ12" s="14"/>
      <c r="BK12" s="14"/>
      <c r="BL12" s="14"/>
      <c r="BM12" s="14"/>
      <c r="BN12" s="14"/>
    </row>
    <row r="13" spans="2:66" x14ac:dyDescent="0.3">
      <c r="B13" s="39"/>
      <c r="C13" s="71"/>
      <c r="D13" s="56"/>
      <c r="E13" s="41"/>
      <c r="F13" s="41"/>
      <c r="G13" s="15" t="s">
        <v>20</v>
      </c>
      <c r="H13" s="15">
        <f t="shared" si="0"/>
        <v>5</v>
      </c>
      <c r="I13" s="16"/>
      <c r="J13" s="16"/>
      <c r="K13" s="16"/>
      <c r="L13" s="16"/>
      <c r="M13" s="16"/>
      <c r="N13" s="16"/>
      <c r="O13" s="16"/>
      <c r="P13" s="16"/>
      <c r="Q13" s="16"/>
      <c r="R13" s="16">
        <v>1</v>
      </c>
      <c r="S13" s="16"/>
      <c r="T13" s="16"/>
      <c r="U13" s="16"/>
      <c r="V13" s="16">
        <v>1</v>
      </c>
      <c r="W13" s="16"/>
      <c r="X13" s="16"/>
      <c r="Y13" s="17">
        <v>1</v>
      </c>
      <c r="Z13" s="17"/>
      <c r="AA13" s="17"/>
      <c r="AB13" s="17">
        <v>1</v>
      </c>
      <c r="AC13" s="17"/>
      <c r="AD13" s="17"/>
      <c r="AE13" s="17"/>
      <c r="AF13" s="17"/>
      <c r="AG13" s="17"/>
      <c r="AH13" s="17"/>
      <c r="AI13" s="16"/>
      <c r="AJ13" s="17"/>
      <c r="AK13" s="17"/>
      <c r="AL13" s="16">
        <v>1</v>
      </c>
      <c r="AM13" s="17"/>
      <c r="AN13" s="17"/>
      <c r="AO13" s="17"/>
      <c r="AP13" s="17"/>
      <c r="AQ13" s="17"/>
      <c r="AR13" s="17"/>
      <c r="AS13" s="17"/>
      <c r="AT13" s="17"/>
      <c r="AU13" s="17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8"/>
      <c r="BG13" s="14"/>
      <c r="BH13" s="14"/>
      <c r="BI13" s="14"/>
      <c r="BJ13" s="14"/>
      <c r="BK13" s="14"/>
      <c r="BL13" s="14"/>
      <c r="BM13" s="14"/>
      <c r="BN13" s="14"/>
    </row>
    <row r="14" spans="2:66" x14ac:dyDescent="0.3">
      <c r="B14" s="39" t="s">
        <v>25</v>
      </c>
      <c r="C14" s="71"/>
      <c r="D14" s="56">
        <f>SUM(N14:AN14)</f>
        <v>372</v>
      </c>
      <c r="E14" s="41">
        <v>46085</v>
      </c>
      <c r="F14" s="41">
        <v>46127</v>
      </c>
      <c r="G14" s="15" t="s">
        <v>18</v>
      </c>
      <c r="H14" s="15">
        <f t="shared" si="0"/>
        <v>372</v>
      </c>
      <c r="I14" s="19"/>
      <c r="J14" s="20"/>
      <c r="K14" s="20"/>
      <c r="L14" s="20"/>
      <c r="M14" s="20" t="s">
        <v>19</v>
      </c>
      <c r="N14" s="23">
        <v>27</v>
      </c>
      <c r="O14" s="23">
        <v>0</v>
      </c>
      <c r="P14" s="23">
        <v>28</v>
      </c>
      <c r="Q14" s="23">
        <v>8</v>
      </c>
      <c r="R14" s="23">
        <v>6</v>
      </c>
      <c r="S14" s="23">
        <v>0</v>
      </c>
      <c r="T14" s="23">
        <v>0</v>
      </c>
      <c r="U14" s="23">
        <v>17</v>
      </c>
      <c r="V14" s="23">
        <v>20</v>
      </c>
      <c r="W14" s="23">
        <v>17</v>
      </c>
      <c r="X14" s="23">
        <v>31</v>
      </c>
      <c r="Y14" s="23">
        <v>14</v>
      </c>
      <c r="Z14" s="23">
        <v>14</v>
      </c>
      <c r="AA14" s="23">
        <v>14</v>
      </c>
      <c r="AB14" s="23">
        <v>14</v>
      </c>
      <c r="AC14" s="23">
        <v>14</v>
      </c>
      <c r="AD14" s="23">
        <v>14</v>
      </c>
      <c r="AE14" s="23">
        <v>14</v>
      </c>
      <c r="AF14" s="23">
        <v>15</v>
      </c>
      <c r="AG14" s="23">
        <v>15</v>
      </c>
      <c r="AH14" s="23">
        <v>15</v>
      </c>
      <c r="AI14" s="20" t="s">
        <v>19</v>
      </c>
      <c r="AJ14" s="23">
        <v>15</v>
      </c>
      <c r="AK14" s="23">
        <v>15</v>
      </c>
      <c r="AL14" s="23">
        <v>15</v>
      </c>
      <c r="AM14" s="23">
        <v>15</v>
      </c>
      <c r="AN14" s="23">
        <v>15</v>
      </c>
      <c r="AO14" s="20"/>
      <c r="AP14" s="20"/>
      <c r="AQ14" s="20"/>
      <c r="AR14" s="20"/>
      <c r="AS14" s="20"/>
      <c r="AT14" s="20"/>
      <c r="AU14" s="20"/>
      <c r="AV14" s="20" t="s">
        <v>19</v>
      </c>
      <c r="AW14" s="20" t="s">
        <v>19</v>
      </c>
      <c r="AX14" s="20"/>
      <c r="AY14" s="20"/>
      <c r="AZ14" s="20"/>
      <c r="BA14" s="20"/>
      <c r="BB14" s="20"/>
      <c r="BC14" s="20"/>
      <c r="BD14" s="20"/>
      <c r="BE14" s="20"/>
      <c r="BF14" s="22" t="s">
        <v>19</v>
      </c>
      <c r="BG14" s="14"/>
      <c r="BH14" s="14"/>
      <c r="BI14" s="14"/>
      <c r="BJ14" s="14"/>
      <c r="BK14" s="14"/>
      <c r="BL14" s="14"/>
      <c r="BM14" s="14"/>
      <c r="BN14" s="14"/>
    </row>
    <row r="15" spans="2:66" x14ac:dyDescent="0.3">
      <c r="B15" s="39"/>
      <c r="C15" s="71"/>
      <c r="D15" s="56"/>
      <c r="E15" s="41"/>
      <c r="F15" s="41"/>
      <c r="G15" s="15" t="s">
        <v>20</v>
      </c>
      <c r="H15" s="15">
        <f t="shared" si="0"/>
        <v>425.32</v>
      </c>
      <c r="I15" s="16"/>
      <c r="J15" s="16"/>
      <c r="K15" s="16"/>
      <c r="L15" s="16"/>
      <c r="M15" s="16"/>
      <c r="N15" s="16">
        <v>27</v>
      </c>
      <c r="O15" s="16">
        <v>0</v>
      </c>
      <c r="P15" s="16">
        <v>27.9</v>
      </c>
      <c r="Q15" s="16">
        <v>7.56</v>
      </c>
      <c r="R15" s="16">
        <v>5.58</v>
      </c>
      <c r="S15" s="16">
        <v>0</v>
      </c>
      <c r="T15" s="16">
        <v>0</v>
      </c>
      <c r="U15" s="16">
        <v>16.739999999999998</v>
      </c>
      <c r="V15" s="16">
        <v>20.46</v>
      </c>
      <c r="W15" s="16">
        <v>16.739999999999998</v>
      </c>
      <c r="X15" s="16">
        <v>30.69</v>
      </c>
      <c r="Y15" s="17"/>
      <c r="Z15" s="17"/>
      <c r="AA15" s="17"/>
      <c r="AB15" s="17"/>
      <c r="AC15" s="17">
        <v>33.479999999999997</v>
      </c>
      <c r="AD15" s="17">
        <v>68.8</v>
      </c>
      <c r="AE15" s="17"/>
      <c r="AF15" s="17">
        <v>22.32</v>
      </c>
      <c r="AG15" s="17"/>
      <c r="AH15" s="17">
        <v>70</v>
      </c>
      <c r="AI15" s="16"/>
      <c r="AJ15" s="17"/>
      <c r="AK15" s="17"/>
      <c r="AL15" s="16">
        <v>37.6</v>
      </c>
      <c r="AM15" s="17"/>
      <c r="AN15" s="17">
        <v>40.450000000000003</v>
      </c>
      <c r="AO15" s="17"/>
      <c r="AP15" s="17"/>
      <c r="AQ15" s="17"/>
      <c r="AR15" s="17"/>
      <c r="AS15" s="17"/>
      <c r="AT15" s="17"/>
      <c r="AU15" s="17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8"/>
      <c r="BG15" s="14"/>
      <c r="BH15" s="14"/>
      <c r="BI15" s="14"/>
      <c r="BJ15" s="14"/>
      <c r="BK15" s="14"/>
      <c r="BL15" s="14"/>
      <c r="BM15" s="14"/>
      <c r="BN15" s="14"/>
    </row>
    <row r="16" spans="2:66" x14ac:dyDescent="0.3">
      <c r="B16" s="39" t="s">
        <v>32</v>
      </c>
      <c r="C16" s="71"/>
      <c r="D16" s="56">
        <f>SUM(Z16:AS16)</f>
        <v>350</v>
      </c>
      <c r="E16" s="41">
        <v>46097</v>
      </c>
      <c r="F16" s="41">
        <v>46134</v>
      </c>
      <c r="G16" s="15" t="s">
        <v>18</v>
      </c>
      <c r="H16" s="15">
        <f t="shared" si="0"/>
        <v>400</v>
      </c>
      <c r="I16" s="19"/>
      <c r="J16" s="20"/>
      <c r="K16" s="20"/>
      <c r="L16" s="20"/>
      <c r="M16" s="20" t="s">
        <v>19</v>
      </c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3"/>
      <c r="AG16" s="20"/>
      <c r="AH16" s="20"/>
      <c r="AI16" s="20" t="s">
        <v>19</v>
      </c>
      <c r="AJ16" s="20">
        <v>50</v>
      </c>
      <c r="AK16" s="20"/>
      <c r="AL16" s="20">
        <v>132.5</v>
      </c>
      <c r="AM16" s="20">
        <v>117.5</v>
      </c>
      <c r="AN16" s="20">
        <v>50</v>
      </c>
      <c r="AO16" s="20"/>
      <c r="AP16" s="20"/>
      <c r="AQ16" s="20"/>
      <c r="AR16" s="20"/>
      <c r="AS16" s="23"/>
      <c r="AT16" s="20"/>
      <c r="AU16" s="20"/>
      <c r="AV16" s="20" t="s">
        <v>19</v>
      </c>
      <c r="AW16" s="20" t="s">
        <v>19</v>
      </c>
      <c r="AX16" s="20"/>
      <c r="AY16" s="20"/>
      <c r="AZ16" s="20">
        <v>50</v>
      </c>
      <c r="BA16" s="20"/>
      <c r="BB16" s="20"/>
      <c r="BC16" s="20"/>
      <c r="BD16" s="20"/>
      <c r="BE16" s="20"/>
      <c r="BF16" s="22" t="s">
        <v>19</v>
      </c>
      <c r="BG16" s="14"/>
      <c r="BH16" s="14"/>
      <c r="BI16" s="14"/>
      <c r="BJ16" s="14"/>
      <c r="BK16" s="14"/>
      <c r="BL16" s="14"/>
      <c r="BM16" s="14"/>
      <c r="BN16" s="14"/>
    </row>
    <row r="17" spans="2:58" ht="15" customHeight="1" thickBot="1" x14ac:dyDescent="0.35">
      <c r="B17" s="42"/>
      <c r="C17" s="72"/>
      <c r="D17" s="57"/>
      <c r="E17" s="44"/>
      <c r="F17" s="44"/>
      <c r="G17" s="25" t="s">
        <v>20</v>
      </c>
      <c r="H17" s="25">
        <f t="shared" si="0"/>
        <v>342</v>
      </c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7"/>
      <c r="Z17" s="27"/>
      <c r="AA17" s="27"/>
      <c r="AB17" s="27"/>
      <c r="AC17" s="27"/>
      <c r="AD17" s="27"/>
      <c r="AE17" s="27"/>
      <c r="AF17" s="27"/>
      <c r="AG17" s="27">
        <v>-70</v>
      </c>
      <c r="AH17" s="27">
        <v>70</v>
      </c>
      <c r="AI17" s="26"/>
      <c r="AJ17" s="27">
        <v>50</v>
      </c>
      <c r="AK17" s="27"/>
      <c r="AL17" s="26">
        <v>132.5</v>
      </c>
      <c r="AM17" s="27">
        <v>117.5</v>
      </c>
      <c r="AN17" s="27">
        <v>42</v>
      </c>
      <c r="AO17" s="27"/>
      <c r="AP17" s="27"/>
      <c r="AQ17" s="27"/>
      <c r="AR17" s="27"/>
      <c r="AS17" s="27"/>
      <c r="AT17" s="27"/>
      <c r="AU17" s="27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8"/>
    </row>
    <row r="18" spans="2:58" x14ac:dyDescent="0.3">
      <c r="B18" s="47" t="s">
        <v>26</v>
      </c>
      <c r="C18" s="58">
        <v>2</v>
      </c>
      <c r="D18" s="61">
        <f>AA18</f>
        <v>5</v>
      </c>
      <c r="E18" s="50">
        <v>46097</v>
      </c>
      <c r="F18" s="50">
        <v>46134</v>
      </c>
      <c r="G18" s="29" t="s">
        <v>18</v>
      </c>
      <c r="H18" s="29">
        <f t="shared" si="0"/>
        <v>5</v>
      </c>
      <c r="I18" s="30"/>
      <c r="J18" s="31"/>
      <c r="K18" s="31"/>
      <c r="L18" s="31"/>
      <c r="M18" s="31" t="s">
        <v>19</v>
      </c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2">
        <v>5</v>
      </c>
      <c r="AB18" s="31"/>
      <c r="AC18" s="31"/>
      <c r="AD18" s="31"/>
      <c r="AE18" s="31"/>
      <c r="AF18" s="31"/>
      <c r="AG18" s="31"/>
      <c r="AH18" s="31"/>
      <c r="AI18" s="31" t="s">
        <v>19</v>
      </c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 t="s">
        <v>19</v>
      </c>
      <c r="AW18" s="31" t="s">
        <v>19</v>
      </c>
      <c r="AX18" s="31"/>
      <c r="AY18" s="31"/>
      <c r="AZ18" s="31"/>
      <c r="BA18" s="31"/>
      <c r="BB18" s="31"/>
      <c r="BC18" s="31"/>
      <c r="BD18" s="31"/>
      <c r="BE18" s="31"/>
      <c r="BF18" s="33" t="s">
        <v>19</v>
      </c>
    </row>
    <row r="19" spans="2:58" x14ac:dyDescent="0.3">
      <c r="B19" s="39"/>
      <c r="C19" s="59"/>
      <c r="D19" s="53"/>
      <c r="E19" s="41"/>
      <c r="F19" s="41"/>
      <c r="G19" s="15" t="s">
        <v>20</v>
      </c>
      <c r="H19" s="15">
        <f t="shared" si="0"/>
        <v>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7"/>
      <c r="Z19" s="17"/>
      <c r="AA19" s="17">
        <v>5</v>
      </c>
      <c r="AB19" s="17"/>
      <c r="AC19" s="17"/>
      <c r="AD19" s="17"/>
      <c r="AE19" s="17"/>
      <c r="AF19" s="17"/>
      <c r="AG19" s="17"/>
      <c r="AH19" s="17"/>
      <c r="AI19" s="16"/>
      <c r="AJ19" s="17"/>
      <c r="AK19" s="17"/>
      <c r="AL19" s="16"/>
      <c r="AM19" s="17"/>
      <c r="AN19" s="17"/>
      <c r="AO19" s="17"/>
      <c r="AP19" s="17"/>
      <c r="AQ19" s="17"/>
      <c r="AR19" s="17"/>
      <c r="AS19" s="17"/>
      <c r="AT19" s="17"/>
      <c r="AU19" s="17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8"/>
    </row>
    <row r="20" spans="2:58" x14ac:dyDescent="0.3">
      <c r="B20" s="39" t="s">
        <v>17</v>
      </c>
      <c r="C20" s="59"/>
      <c r="D20" s="53">
        <f>SUM(AB20:AK20)</f>
        <v>204</v>
      </c>
      <c r="E20" s="41">
        <v>46097</v>
      </c>
      <c r="F20" s="41">
        <v>46134</v>
      </c>
      <c r="G20" s="15" t="s">
        <v>18</v>
      </c>
      <c r="H20" s="15">
        <f t="shared" si="0"/>
        <v>408</v>
      </c>
      <c r="I20" s="19"/>
      <c r="J20" s="20"/>
      <c r="K20" s="20"/>
      <c r="L20" s="20"/>
      <c r="M20" s="20" t="s">
        <v>19</v>
      </c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34">
        <v>0</v>
      </c>
      <c r="AC20" s="34">
        <v>0</v>
      </c>
      <c r="AD20" s="34">
        <v>0</v>
      </c>
      <c r="AE20" s="34">
        <v>0</v>
      </c>
      <c r="AF20" s="34">
        <v>68</v>
      </c>
      <c r="AG20" s="34">
        <v>68</v>
      </c>
      <c r="AH20" s="34">
        <v>68</v>
      </c>
      <c r="AI20" s="20" t="s">
        <v>19</v>
      </c>
      <c r="AJ20" s="35"/>
      <c r="AK20" s="35"/>
      <c r="AL20" s="20">
        <v>68</v>
      </c>
      <c r="AM20" s="20">
        <v>68</v>
      </c>
      <c r="AN20" s="20">
        <v>68</v>
      </c>
      <c r="AO20" s="20"/>
      <c r="AP20" s="20"/>
      <c r="AQ20" s="20"/>
      <c r="AR20" s="20"/>
      <c r="AS20" s="20"/>
      <c r="AT20" s="20"/>
      <c r="AU20" s="20"/>
      <c r="AV20" s="20" t="s">
        <v>19</v>
      </c>
      <c r="AW20" s="20" t="s">
        <v>19</v>
      </c>
      <c r="AX20" s="20"/>
      <c r="AY20" s="20"/>
      <c r="AZ20" s="20"/>
      <c r="BA20" s="20"/>
      <c r="BB20" s="20"/>
      <c r="BC20" s="20"/>
      <c r="BD20" s="20"/>
      <c r="BE20" s="20"/>
      <c r="BF20" s="22" t="s">
        <v>19</v>
      </c>
    </row>
    <row r="21" spans="2:58" x14ac:dyDescent="0.3">
      <c r="B21" s="39"/>
      <c r="C21" s="59"/>
      <c r="D21" s="53"/>
      <c r="E21" s="41"/>
      <c r="F21" s="41"/>
      <c r="G21" s="15" t="s">
        <v>20</v>
      </c>
      <c r="H21" s="15">
        <f t="shared" si="0"/>
        <v>343.5</v>
      </c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7"/>
      <c r="Z21" s="17"/>
      <c r="AA21" s="17"/>
      <c r="AB21" s="17"/>
      <c r="AC21" s="17"/>
      <c r="AD21" s="17"/>
      <c r="AE21" s="17"/>
      <c r="AF21" s="17">
        <v>55.2</v>
      </c>
      <c r="AG21" s="17">
        <v>94.3</v>
      </c>
      <c r="AH21" s="17"/>
      <c r="AI21" s="16"/>
      <c r="AJ21" s="17"/>
      <c r="AK21" s="17"/>
      <c r="AL21" s="16"/>
      <c r="AM21" s="17"/>
      <c r="AN21" s="17">
        <v>194</v>
      </c>
      <c r="AO21" s="17"/>
      <c r="AP21" s="17"/>
      <c r="AQ21" s="17"/>
      <c r="AR21" s="17"/>
      <c r="AS21" s="17"/>
      <c r="AT21" s="17"/>
      <c r="AU21" s="17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8"/>
    </row>
    <row r="22" spans="2:58" x14ac:dyDescent="0.3">
      <c r="B22" s="39" t="s">
        <v>21</v>
      </c>
      <c r="C22" s="59"/>
      <c r="D22" s="53">
        <f>SUM(AC22:AH22,AK22:AP22)</f>
        <v>155.6</v>
      </c>
      <c r="E22" s="41">
        <v>46097</v>
      </c>
      <c r="F22" s="41">
        <v>46134</v>
      </c>
      <c r="G22" s="15" t="s">
        <v>18</v>
      </c>
      <c r="H22" s="15">
        <f t="shared" si="0"/>
        <v>259.60000000000002</v>
      </c>
      <c r="I22" s="19"/>
      <c r="J22" s="20"/>
      <c r="K22" s="20"/>
      <c r="L22" s="20"/>
      <c r="M22" s="20" t="s">
        <v>19</v>
      </c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20" t="s">
        <v>19</v>
      </c>
      <c r="AJ22" s="34">
        <v>26</v>
      </c>
      <c r="AK22" s="34">
        <v>26</v>
      </c>
      <c r="AL22" s="34">
        <v>26</v>
      </c>
      <c r="AM22" s="34">
        <v>26</v>
      </c>
      <c r="AN22" s="20">
        <v>26</v>
      </c>
      <c r="AO22" s="20">
        <v>26</v>
      </c>
      <c r="AP22" s="20">
        <v>25.6</v>
      </c>
      <c r="AQ22" s="20">
        <v>26</v>
      </c>
      <c r="AR22" s="20">
        <v>26</v>
      </c>
      <c r="AS22" s="20">
        <v>26</v>
      </c>
      <c r="AT22" s="20"/>
      <c r="AU22" s="20"/>
      <c r="AV22" s="20" t="s">
        <v>19</v>
      </c>
      <c r="AW22" s="20" t="s">
        <v>19</v>
      </c>
      <c r="AX22" s="20"/>
      <c r="AY22" s="20"/>
      <c r="AZ22" s="20"/>
      <c r="BA22" s="20"/>
      <c r="BB22" s="20"/>
      <c r="BC22" s="20"/>
      <c r="BD22" s="20"/>
      <c r="BE22" s="20"/>
      <c r="BF22" s="22" t="s">
        <v>19</v>
      </c>
    </row>
    <row r="23" spans="2:58" x14ac:dyDescent="0.3">
      <c r="B23" s="39"/>
      <c r="C23" s="59"/>
      <c r="D23" s="53"/>
      <c r="E23" s="41"/>
      <c r="F23" s="41"/>
      <c r="G23" s="15" t="s">
        <v>20</v>
      </c>
      <c r="H23" s="15">
        <f t="shared" si="0"/>
        <v>189.68</v>
      </c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6"/>
      <c r="AJ23" s="17">
        <v>35.28</v>
      </c>
      <c r="AK23" s="17">
        <v>16</v>
      </c>
      <c r="AL23" s="16"/>
      <c r="AM23" s="17">
        <v>25</v>
      </c>
      <c r="AN23" s="17">
        <v>45.36</v>
      </c>
      <c r="AO23" s="17">
        <v>30.24</v>
      </c>
      <c r="AP23" s="17">
        <v>37.799999999999997</v>
      </c>
      <c r="AQ23" s="17"/>
      <c r="AR23" s="17"/>
      <c r="AS23" s="17"/>
      <c r="AT23" s="17"/>
      <c r="AU23" s="17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8"/>
    </row>
    <row r="24" spans="2:58" x14ac:dyDescent="0.3">
      <c r="B24" s="39" t="s">
        <v>22</v>
      </c>
      <c r="C24" s="59"/>
      <c r="D24" s="53">
        <f>SUM(AD24:AH24,AJ24:BE24)</f>
        <v>19.779999999999998</v>
      </c>
      <c r="E24" s="41">
        <v>46097</v>
      </c>
      <c r="F24" s="41">
        <v>46134</v>
      </c>
      <c r="G24" s="15" t="s">
        <v>18</v>
      </c>
      <c r="H24" s="15">
        <f t="shared" si="0"/>
        <v>19.779999999999998</v>
      </c>
      <c r="I24" s="19"/>
      <c r="J24" s="20"/>
      <c r="K24" s="20"/>
      <c r="L24" s="20"/>
      <c r="M24" s="20" t="s">
        <v>19</v>
      </c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34"/>
      <c r="AE24" s="34"/>
      <c r="AF24" s="34"/>
      <c r="AG24" s="34"/>
      <c r="AH24" s="34"/>
      <c r="AI24" s="20" t="s">
        <v>19</v>
      </c>
      <c r="AJ24" s="34"/>
      <c r="AK24" s="34"/>
      <c r="AL24" s="34">
        <v>2</v>
      </c>
      <c r="AM24" s="34">
        <v>3.94</v>
      </c>
      <c r="AN24" s="34">
        <v>2</v>
      </c>
      <c r="AO24" s="34">
        <v>3.94</v>
      </c>
      <c r="AP24" s="34">
        <v>2</v>
      </c>
      <c r="AQ24" s="34">
        <v>3.9</v>
      </c>
      <c r="AR24" s="34">
        <v>2</v>
      </c>
      <c r="AS24" s="20"/>
      <c r="AT24" s="20"/>
      <c r="AU24" s="20"/>
      <c r="AV24" s="20" t="s">
        <v>19</v>
      </c>
      <c r="AW24" s="20" t="s">
        <v>19</v>
      </c>
      <c r="AX24" s="20"/>
      <c r="AY24" s="20"/>
      <c r="AZ24" s="20"/>
      <c r="BA24" s="20"/>
      <c r="BB24" s="20"/>
      <c r="BC24" s="20"/>
      <c r="BD24" s="20"/>
      <c r="BE24" s="20"/>
      <c r="BF24" s="22" t="s">
        <v>19</v>
      </c>
    </row>
    <row r="25" spans="2:58" x14ac:dyDescent="0.3">
      <c r="B25" s="39"/>
      <c r="C25" s="59"/>
      <c r="D25" s="53"/>
      <c r="E25" s="41"/>
      <c r="F25" s="41"/>
      <c r="G25" s="15" t="s">
        <v>20</v>
      </c>
      <c r="H25" s="15">
        <f t="shared" si="0"/>
        <v>8.64</v>
      </c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6"/>
      <c r="AJ25" s="17"/>
      <c r="AK25" s="17"/>
      <c r="AL25" s="16"/>
      <c r="AM25" s="17"/>
      <c r="AN25" s="17"/>
      <c r="AO25" s="17">
        <v>8.64</v>
      </c>
      <c r="AP25" s="17"/>
      <c r="AQ25" s="17"/>
      <c r="AR25" s="17"/>
      <c r="AS25" s="17"/>
      <c r="AT25" s="17"/>
      <c r="AU25" s="17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8"/>
    </row>
    <row r="26" spans="2:58" x14ac:dyDescent="0.3">
      <c r="B26" s="54" t="s">
        <v>23</v>
      </c>
      <c r="C26" s="59"/>
      <c r="D26" s="55">
        <f>SUM(AE26:AH26,AJ26:AW26)</f>
        <v>238</v>
      </c>
      <c r="E26" s="41">
        <v>46097</v>
      </c>
      <c r="F26" s="41">
        <v>46134</v>
      </c>
      <c r="G26" s="15" t="s">
        <v>18</v>
      </c>
      <c r="H26" s="15">
        <f t="shared" si="0"/>
        <v>238</v>
      </c>
      <c r="I26" s="19"/>
      <c r="J26" s="20"/>
      <c r="K26" s="20"/>
      <c r="L26" s="20"/>
      <c r="M26" s="20" t="s">
        <v>19</v>
      </c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36">
        <v>0</v>
      </c>
      <c r="AF26" s="36">
        <v>0</v>
      </c>
      <c r="AG26" s="36">
        <v>0</v>
      </c>
      <c r="AH26" s="36">
        <v>0</v>
      </c>
      <c r="AI26" s="20" t="s">
        <v>19</v>
      </c>
      <c r="AJ26" s="36">
        <v>0</v>
      </c>
      <c r="AK26" s="36">
        <v>24</v>
      </c>
      <c r="AL26" s="36">
        <v>18</v>
      </c>
      <c r="AM26" s="36">
        <v>24</v>
      </c>
      <c r="AN26" s="36">
        <v>24</v>
      </c>
      <c r="AO26" s="36">
        <v>24</v>
      </c>
      <c r="AP26" s="36">
        <v>24</v>
      </c>
      <c r="AQ26" s="36">
        <v>24</v>
      </c>
      <c r="AR26" s="36">
        <v>24</v>
      </c>
      <c r="AS26" s="36">
        <v>24</v>
      </c>
      <c r="AT26" s="36">
        <v>28</v>
      </c>
      <c r="AU26" s="36"/>
      <c r="AV26" s="20" t="s">
        <v>19</v>
      </c>
      <c r="AW26" s="20" t="s">
        <v>19</v>
      </c>
      <c r="AX26" s="20"/>
      <c r="AY26" s="20"/>
      <c r="AZ26" s="20"/>
      <c r="BA26" s="20"/>
      <c r="BB26" s="20"/>
      <c r="BC26" s="20"/>
      <c r="BD26" s="20"/>
      <c r="BE26" s="20"/>
      <c r="BF26" s="22" t="s">
        <v>19</v>
      </c>
    </row>
    <row r="27" spans="2:58" x14ac:dyDescent="0.3">
      <c r="B27" s="54"/>
      <c r="C27" s="59"/>
      <c r="D27" s="55"/>
      <c r="E27" s="41"/>
      <c r="F27" s="41"/>
      <c r="G27" s="15" t="s">
        <v>20</v>
      </c>
      <c r="H27" s="15">
        <f t="shared" si="0"/>
        <v>110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6"/>
      <c r="AJ27" s="17"/>
      <c r="AK27" s="17">
        <v>36</v>
      </c>
      <c r="AL27" s="16">
        <v>12</v>
      </c>
      <c r="AM27" s="17">
        <v>20</v>
      </c>
      <c r="AN27" s="17"/>
      <c r="AO27" s="17">
        <v>12</v>
      </c>
      <c r="AP27" s="17">
        <v>30</v>
      </c>
      <c r="AQ27" s="17"/>
      <c r="AR27" s="17"/>
      <c r="AS27" s="17"/>
      <c r="AT27" s="17"/>
      <c r="AU27" s="17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8"/>
    </row>
    <row r="28" spans="2:58" x14ac:dyDescent="0.3">
      <c r="B28" s="39" t="s">
        <v>24</v>
      </c>
      <c r="C28" s="59"/>
      <c r="D28" s="45">
        <f>SUM(AJ28:AW28)</f>
        <v>3</v>
      </c>
      <c r="E28" s="41">
        <v>46097</v>
      </c>
      <c r="F28" s="41">
        <v>46134</v>
      </c>
      <c r="G28" s="15" t="s">
        <v>18</v>
      </c>
      <c r="H28" s="15">
        <f t="shared" si="0"/>
        <v>3</v>
      </c>
      <c r="I28" s="19"/>
      <c r="J28" s="20"/>
      <c r="K28" s="20"/>
      <c r="L28" s="20"/>
      <c r="M28" s="20" t="s">
        <v>19</v>
      </c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 t="s">
        <v>19</v>
      </c>
      <c r="AJ28" s="34">
        <v>1</v>
      </c>
      <c r="AK28" s="20"/>
      <c r="AL28" s="20"/>
      <c r="AM28" s="20"/>
      <c r="AN28" s="20"/>
      <c r="AO28" s="34">
        <v>1</v>
      </c>
      <c r="AP28" s="20"/>
      <c r="AQ28" s="20"/>
      <c r="AR28" s="20"/>
      <c r="AS28" s="20"/>
      <c r="AT28" s="34">
        <v>1</v>
      </c>
      <c r="AU28" s="20"/>
      <c r="AV28" s="20" t="s">
        <v>19</v>
      </c>
      <c r="AW28" s="20" t="s">
        <v>19</v>
      </c>
      <c r="AX28" s="20"/>
      <c r="AY28" s="20"/>
      <c r="AZ28" s="20"/>
      <c r="BA28" s="20"/>
      <c r="BB28" s="20"/>
      <c r="BC28" s="20"/>
      <c r="BD28" s="20"/>
      <c r="BE28" s="20"/>
      <c r="BF28" s="22" t="s">
        <v>19</v>
      </c>
    </row>
    <row r="29" spans="2:58" x14ac:dyDescent="0.3">
      <c r="B29" s="39"/>
      <c r="C29" s="59"/>
      <c r="D29" s="45"/>
      <c r="E29" s="41"/>
      <c r="F29" s="41"/>
      <c r="G29" s="15" t="s">
        <v>20</v>
      </c>
      <c r="H29" s="15">
        <f t="shared" si="0"/>
        <v>0</v>
      </c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6"/>
      <c r="AJ29" s="17"/>
      <c r="AK29" s="17"/>
      <c r="AL29" s="16"/>
      <c r="AM29" s="17"/>
      <c r="AN29" s="17"/>
      <c r="AO29" s="17"/>
      <c r="AP29" s="17"/>
      <c r="AQ29" s="17"/>
      <c r="AR29" s="17"/>
      <c r="AS29" s="17"/>
      <c r="AT29" s="17"/>
      <c r="AU29" s="17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8"/>
    </row>
    <row r="30" spans="2:58" x14ac:dyDescent="0.3">
      <c r="B30" s="39" t="s">
        <v>25</v>
      </c>
      <c r="C30" s="59"/>
      <c r="D30" s="45">
        <f>SUM(AE30:AH30,AJ30:AU30)</f>
        <v>192</v>
      </c>
      <c r="E30" s="41">
        <v>46097</v>
      </c>
      <c r="F30" s="41">
        <v>46134</v>
      </c>
      <c r="G30" s="15" t="s">
        <v>18</v>
      </c>
      <c r="H30" s="15">
        <f t="shared" si="0"/>
        <v>256</v>
      </c>
      <c r="I30" s="19"/>
      <c r="J30" s="20"/>
      <c r="K30" s="20"/>
      <c r="L30" s="20"/>
      <c r="M30" s="20" t="s">
        <v>19</v>
      </c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34">
        <v>0</v>
      </c>
      <c r="AF30" s="34">
        <v>0</v>
      </c>
      <c r="AG30" s="34">
        <v>0</v>
      </c>
      <c r="AH30" s="34">
        <v>0</v>
      </c>
      <c r="AI30" s="20" t="s">
        <v>19</v>
      </c>
      <c r="AJ30" s="34">
        <v>16</v>
      </c>
      <c r="AK30" s="34">
        <v>16</v>
      </c>
      <c r="AL30" s="34">
        <v>16</v>
      </c>
      <c r="AM30" s="34">
        <v>16</v>
      </c>
      <c r="AN30" s="34">
        <v>16</v>
      </c>
      <c r="AO30" s="34">
        <v>16</v>
      </c>
      <c r="AP30" s="34">
        <v>16</v>
      </c>
      <c r="AQ30" s="34">
        <v>16</v>
      </c>
      <c r="AR30" s="34">
        <v>16</v>
      </c>
      <c r="AS30" s="34">
        <v>16</v>
      </c>
      <c r="AT30" s="34">
        <v>16</v>
      </c>
      <c r="AU30" s="34">
        <v>16</v>
      </c>
      <c r="AV30" s="20" t="s">
        <v>19</v>
      </c>
      <c r="AW30" s="20" t="s">
        <v>19</v>
      </c>
      <c r="AX30" s="20">
        <v>16</v>
      </c>
      <c r="AY30" s="20">
        <v>16</v>
      </c>
      <c r="AZ30" s="20">
        <v>32</v>
      </c>
      <c r="BA30" s="20"/>
      <c r="BB30" s="20"/>
      <c r="BC30" s="20"/>
      <c r="BD30" s="20"/>
      <c r="BE30" s="20"/>
      <c r="BF30" s="22" t="s">
        <v>19</v>
      </c>
    </row>
    <row r="31" spans="2:58" x14ac:dyDescent="0.3">
      <c r="B31" s="39"/>
      <c r="C31" s="59"/>
      <c r="D31" s="45"/>
      <c r="E31" s="41"/>
      <c r="F31" s="41"/>
      <c r="G31" s="15" t="s">
        <v>20</v>
      </c>
      <c r="H31" s="15">
        <f t="shared" si="0"/>
        <v>79.97999999999999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6"/>
      <c r="AJ31" s="17"/>
      <c r="AK31" s="17"/>
      <c r="AL31" s="16"/>
      <c r="AM31" s="17"/>
      <c r="AN31" s="17">
        <v>46.5</v>
      </c>
      <c r="AO31" s="17">
        <v>11.16</v>
      </c>
      <c r="AP31" s="17">
        <v>22.32</v>
      </c>
      <c r="AQ31" s="17"/>
      <c r="AR31" s="17"/>
      <c r="AS31" s="17"/>
      <c r="AT31" s="17"/>
      <c r="AU31" s="17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8"/>
    </row>
    <row r="32" spans="2:58" x14ac:dyDescent="0.3">
      <c r="B32" s="39" t="s">
        <v>32</v>
      </c>
      <c r="C32" s="59"/>
      <c r="D32" s="45">
        <f>SUM(AU32:AZ32)</f>
        <v>119</v>
      </c>
      <c r="E32" s="41">
        <v>46097</v>
      </c>
      <c r="F32" s="41">
        <v>46134</v>
      </c>
      <c r="G32" s="15" t="s">
        <v>18</v>
      </c>
      <c r="H32" s="15">
        <f t="shared" si="0"/>
        <v>238</v>
      </c>
      <c r="I32" s="19"/>
      <c r="J32" s="20"/>
      <c r="K32" s="20"/>
      <c r="L32" s="20"/>
      <c r="M32" s="20" t="s">
        <v>19</v>
      </c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 t="s">
        <v>19</v>
      </c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34">
        <v>0</v>
      </c>
      <c r="AV32" s="20" t="s">
        <v>19</v>
      </c>
      <c r="AW32" s="20" t="s">
        <v>19</v>
      </c>
      <c r="AX32" s="20"/>
      <c r="AY32" s="20"/>
      <c r="AZ32" s="34">
        <v>119</v>
      </c>
      <c r="BA32" s="20"/>
      <c r="BB32" s="20"/>
      <c r="BC32" s="20"/>
      <c r="BD32" s="20">
        <v>119</v>
      </c>
      <c r="BE32" s="20"/>
      <c r="BF32" s="22" t="s">
        <v>19</v>
      </c>
    </row>
    <row r="33" spans="2:58" ht="15" customHeight="1" thickBot="1" x14ac:dyDescent="0.35">
      <c r="B33" s="42"/>
      <c r="C33" s="60"/>
      <c r="D33" s="46"/>
      <c r="E33" s="44"/>
      <c r="F33" s="44"/>
      <c r="G33" s="25" t="s">
        <v>20</v>
      </c>
      <c r="H33" s="25">
        <f t="shared" si="0"/>
        <v>0</v>
      </c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6"/>
      <c r="AJ33" s="27"/>
      <c r="AK33" s="27"/>
      <c r="AL33" s="26"/>
      <c r="AM33" s="27"/>
      <c r="AN33" s="27"/>
      <c r="AO33" s="27"/>
      <c r="AP33" s="27"/>
      <c r="AQ33" s="27"/>
      <c r="AR33" s="27"/>
      <c r="AS33" s="27"/>
      <c r="AT33" s="27"/>
      <c r="AU33" s="27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8"/>
    </row>
    <row r="34" spans="2:58" x14ac:dyDescent="0.3">
      <c r="B34" s="39" t="s">
        <v>31</v>
      </c>
      <c r="C34" s="48">
        <v>3</v>
      </c>
      <c r="D34" s="40">
        <f>SUM(AJ34:AK34)</f>
        <v>0</v>
      </c>
      <c r="E34" s="41">
        <v>46097</v>
      </c>
      <c r="F34" s="41">
        <v>46134</v>
      </c>
      <c r="G34" s="15" t="s">
        <v>18</v>
      </c>
      <c r="H34" s="15">
        <f t="shared" si="0"/>
        <v>63</v>
      </c>
      <c r="I34" s="19"/>
      <c r="J34" s="20"/>
      <c r="K34" s="20"/>
      <c r="L34" s="20"/>
      <c r="M34" s="20" t="s">
        <v>19</v>
      </c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 t="s">
        <v>19</v>
      </c>
      <c r="AJ34" s="37">
        <v>0</v>
      </c>
      <c r="AK34" s="37">
        <v>0</v>
      </c>
      <c r="AL34" s="35"/>
      <c r="AM34" s="20"/>
      <c r="AN34" s="20"/>
      <c r="AO34" s="20"/>
      <c r="AP34" s="20"/>
      <c r="AQ34" s="20"/>
      <c r="AR34" s="20"/>
      <c r="AS34" s="20"/>
      <c r="AT34" s="20">
        <v>24</v>
      </c>
      <c r="AU34" s="20">
        <f>(63-AT34)/2</f>
        <v>19.5</v>
      </c>
      <c r="AV34" s="20" t="s">
        <v>19</v>
      </c>
      <c r="AW34" s="31" t="s">
        <v>19</v>
      </c>
      <c r="AX34" s="20">
        <f>63-AT34-AU34</f>
        <v>19.5</v>
      </c>
      <c r="AY34" s="35"/>
      <c r="AZ34" s="20"/>
      <c r="BA34" s="20"/>
      <c r="BB34" s="20"/>
      <c r="BC34" s="20"/>
      <c r="BD34" s="20"/>
      <c r="BE34" s="20"/>
      <c r="BF34" s="22" t="s">
        <v>19</v>
      </c>
    </row>
    <row r="35" spans="2:58" x14ac:dyDescent="0.3">
      <c r="B35" s="39"/>
      <c r="C35" s="48"/>
      <c r="D35" s="40"/>
      <c r="E35" s="41"/>
      <c r="F35" s="41"/>
      <c r="G35" s="15" t="s">
        <v>20</v>
      </c>
      <c r="H35" s="15">
        <f t="shared" si="0"/>
        <v>0</v>
      </c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6"/>
      <c r="AJ35" s="17"/>
      <c r="AK35" s="17"/>
      <c r="AL35" s="16"/>
      <c r="AM35" s="17"/>
      <c r="AN35" s="17"/>
      <c r="AO35" s="17"/>
      <c r="AP35" s="17"/>
      <c r="AQ35" s="17"/>
      <c r="AR35" s="17"/>
      <c r="AS35" s="17"/>
      <c r="AT35" s="17"/>
      <c r="AU35" s="17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8"/>
    </row>
    <row r="36" spans="2:58" x14ac:dyDescent="0.3">
      <c r="B36" s="39" t="s">
        <v>30</v>
      </c>
      <c r="C36" s="48"/>
      <c r="D36" s="40">
        <f>SUM(AJ36:AL36)</f>
        <v>0</v>
      </c>
      <c r="E36" s="41">
        <v>46097</v>
      </c>
      <c r="F36" s="41">
        <v>46134</v>
      </c>
      <c r="G36" s="15" t="s">
        <v>18</v>
      </c>
      <c r="H36" s="15">
        <f t="shared" si="0"/>
        <v>0</v>
      </c>
      <c r="I36" s="19"/>
      <c r="J36" s="20"/>
      <c r="K36" s="20"/>
      <c r="L36" s="20"/>
      <c r="M36" s="20" t="s">
        <v>19</v>
      </c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 t="s">
        <v>27</v>
      </c>
      <c r="AG36" s="20"/>
      <c r="AH36" s="20"/>
      <c r="AI36" s="20" t="s">
        <v>19</v>
      </c>
      <c r="AJ36" s="37">
        <v>0</v>
      </c>
      <c r="AK36" s="37">
        <v>0</v>
      </c>
      <c r="AL36" s="37">
        <v>0</v>
      </c>
      <c r="AM36" s="20"/>
      <c r="AN36" s="20"/>
      <c r="AO36" s="20"/>
      <c r="AP36" s="20"/>
      <c r="AQ36" s="20"/>
      <c r="AR36" s="20"/>
      <c r="AS36" s="20"/>
      <c r="AT36" s="20"/>
      <c r="AU36" s="20"/>
      <c r="AV36" s="20" t="s">
        <v>19</v>
      </c>
      <c r="AW36" s="20" t="s">
        <v>19</v>
      </c>
      <c r="AX36" s="20"/>
      <c r="AY36" s="20"/>
      <c r="AZ36" s="20"/>
      <c r="BA36" s="20"/>
      <c r="BB36" s="20"/>
      <c r="BC36" s="20"/>
      <c r="BD36" s="20"/>
      <c r="BE36" s="20"/>
      <c r="BF36" s="22" t="s">
        <v>19</v>
      </c>
    </row>
    <row r="37" spans="2:58" x14ac:dyDescent="0.3">
      <c r="B37" s="39"/>
      <c r="C37" s="48"/>
      <c r="D37" s="40"/>
      <c r="E37" s="41"/>
      <c r="F37" s="41"/>
      <c r="G37" s="15" t="s">
        <v>20</v>
      </c>
      <c r="H37" s="15">
        <f t="shared" si="0"/>
        <v>0</v>
      </c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6"/>
      <c r="AJ37" s="17"/>
      <c r="AK37" s="17"/>
      <c r="AL37" s="16"/>
      <c r="AM37" s="17"/>
      <c r="AN37" s="17"/>
      <c r="AO37" s="17"/>
      <c r="AP37" s="17"/>
      <c r="AQ37" s="17"/>
      <c r="AR37" s="17"/>
      <c r="AS37" s="17"/>
      <c r="AT37" s="17"/>
      <c r="AU37" s="17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8"/>
    </row>
    <row r="38" spans="2:58" x14ac:dyDescent="0.3">
      <c r="B38" s="39" t="s">
        <v>22</v>
      </c>
      <c r="C38" s="48"/>
      <c r="D38" s="40">
        <f>SUM(AK38:AL38,AM38)</f>
        <v>0</v>
      </c>
      <c r="E38" s="41">
        <v>46097</v>
      </c>
      <c r="F38" s="41">
        <v>46134</v>
      </c>
      <c r="G38" s="15" t="s">
        <v>18</v>
      </c>
      <c r="H38" s="15">
        <f t="shared" si="0"/>
        <v>0</v>
      </c>
      <c r="I38" s="19"/>
      <c r="J38" s="20"/>
      <c r="K38" s="20"/>
      <c r="L38" s="20"/>
      <c r="M38" s="20" t="s">
        <v>19</v>
      </c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 t="s">
        <v>19</v>
      </c>
      <c r="AJ38" s="35"/>
      <c r="AK38" s="37">
        <v>0</v>
      </c>
      <c r="AL38" s="37">
        <v>0</v>
      </c>
      <c r="AM38" s="37">
        <v>0</v>
      </c>
      <c r="AN38" s="20"/>
      <c r="AO38" s="20"/>
      <c r="AP38" s="20"/>
      <c r="AQ38" s="20"/>
      <c r="AR38" s="20"/>
      <c r="AS38" s="20"/>
      <c r="AT38" s="20"/>
      <c r="AU38" s="20"/>
      <c r="AV38" s="20" t="s">
        <v>19</v>
      </c>
      <c r="AW38" s="20" t="s">
        <v>19</v>
      </c>
      <c r="AX38" s="20"/>
      <c r="AY38" s="20"/>
      <c r="AZ38" s="20"/>
      <c r="BA38" s="20"/>
      <c r="BB38" s="20"/>
      <c r="BC38" s="20"/>
      <c r="BD38" s="20"/>
      <c r="BE38" s="20"/>
      <c r="BF38" s="22" t="s">
        <v>19</v>
      </c>
    </row>
    <row r="39" spans="2:58" x14ac:dyDescent="0.3">
      <c r="B39" s="39"/>
      <c r="C39" s="48"/>
      <c r="D39" s="40"/>
      <c r="E39" s="41"/>
      <c r="F39" s="41"/>
      <c r="G39" s="15" t="s">
        <v>20</v>
      </c>
      <c r="H39" s="15">
        <f t="shared" si="0"/>
        <v>0</v>
      </c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6"/>
      <c r="AJ39" s="17"/>
      <c r="AK39" s="17"/>
      <c r="AL39" s="16"/>
      <c r="AM39" s="17"/>
      <c r="AN39" s="17"/>
      <c r="AO39" s="17"/>
      <c r="AP39" s="17"/>
      <c r="AQ39" s="17"/>
      <c r="AR39" s="17"/>
      <c r="AS39" s="17"/>
      <c r="AT39" s="17"/>
      <c r="AU39" s="17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8"/>
    </row>
    <row r="40" spans="2:58" x14ac:dyDescent="0.3">
      <c r="B40" s="51" t="s">
        <v>23</v>
      </c>
      <c r="C40" s="48"/>
      <c r="D40" s="52">
        <f>SUM(AL40:AO40)</f>
        <v>0</v>
      </c>
      <c r="E40" s="41">
        <v>46097</v>
      </c>
      <c r="F40" s="41">
        <v>46134</v>
      </c>
      <c r="G40" s="15" t="s">
        <v>18</v>
      </c>
      <c r="H40" s="15">
        <f t="shared" si="0"/>
        <v>63</v>
      </c>
      <c r="I40" s="19"/>
      <c r="J40" s="20"/>
      <c r="K40" s="20"/>
      <c r="L40" s="20"/>
      <c r="M40" s="20" t="s">
        <v>19</v>
      </c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 t="s">
        <v>19</v>
      </c>
      <c r="AJ40" s="20"/>
      <c r="AK40" s="20"/>
      <c r="AL40" s="38">
        <v>0</v>
      </c>
      <c r="AM40" s="38">
        <v>0</v>
      </c>
      <c r="AN40" s="38">
        <v>0</v>
      </c>
      <c r="AO40" s="38">
        <v>0</v>
      </c>
      <c r="AP40" s="20"/>
      <c r="AQ40" s="20"/>
      <c r="AR40" s="20"/>
      <c r="AS40" s="20"/>
      <c r="AT40" s="20">
        <v>30</v>
      </c>
      <c r="AU40" s="20">
        <v>33</v>
      </c>
      <c r="AV40" s="20" t="s">
        <v>19</v>
      </c>
      <c r="AW40" s="20" t="s">
        <v>19</v>
      </c>
      <c r="AX40" s="20"/>
      <c r="AY40" s="20"/>
      <c r="AZ40" s="20"/>
      <c r="BA40" s="20"/>
      <c r="BB40" s="20"/>
      <c r="BC40" s="20"/>
      <c r="BD40" s="20"/>
      <c r="BE40" s="20"/>
      <c r="BF40" s="22" t="s">
        <v>19</v>
      </c>
    </row>
    <row r="41" spans="2:58" x14ac:dyDescent="0.3">
      <c r="B41" s="51"/>
      <c r="C41" s="48"/>
      <c r="D41" s="52"/>
      <c r="E41" s="41"/>
      <c r="F41" s="41"/>
      <c r="G41" s="15" t="s">
        <v>20</v>
      </c>
      <c r="H41" s="15">
        <f t="shared" si="0"/>
        <v>0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6"/>
      <c r="AJ41" s="17"/>
      <c r="AK41" s="17"/>
      <c r="AL41" s="16"/>
      <c r="AM41" s="17"/>
      <c r="AN41" s="17"/>
      <c r="AO41" s="17"/>
      <c r="AP41" s="17"/>
      <c r="AQ41" s="17"/>
      <c r="AR41" s="17"/>
      <c r="AS41" s="17"/>
      <c r="AT41" s="17"/>
      <c r="AU41" s="17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8"/>
    </row>
    <row r="42" spans="2:58" x14ac:dyDescent="0.3">
      <c r="B42" s="39" t="s">
        <v>24</v>
      </c>
      <c r="C42" s="48"/>
      <c r="D42" s="40">
        <f>SUM(AO42)</f>
        <v>0</v>
      </c>
      <c r="E42" s="41">
        <v>46097</v>
      </c>
      <c r="F42" s="41">
        <v>46134</v>
      </c>
      <c r="G42" s="15" t="s">
        <v>18</v>
      </c>
      <c r="H42" s="15">
        <f t="shared" si="0"/>
        <v>1</v>
      </c>
      <c r="I42" s="19"/>
      <c r="J42" s="20"/>
      <c r="K42" s="20"/>
      <c r="L42" s="20"/>
      <c r="M42" s="20" t="s">
        <v>19</v>
      </c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 t="s">
        <v>19</v>
      </c>
      <c r="AJ42" s="20"/>
      <c r="AK42" s="20"/>
      <c r="AL42" s="20"/>
      <c r="AM42" s="20"/>
      <c r="AN42" s="20"/>
      <c r="AO42" s="37">
        <v>0</v>
      </c>
      <c r="AP42" s="20"/>
      <c r="AQ42" s="20"/>
      <c r="AR42" s="20"/>
      <c r="AS42" s="20"/>
      <c r="AT42" s="20"/>
      <c r="AU42" s="20">
        <v>1</v>
      </c>
      <c r="AV42" s="20" t="s">
        <v>19</v>
      </c>
      <c r="AW42" s="20" t="s">
        <v>19</v>
      </c>
      <c r="AX42" s="20"/>
      <c r="AY42" s="20"/>
      <c r="AZ42" s="20"/>
      <c r="BA42" s="20"/>
      <c r="BB42" s="20"/>
      <c r="BC42" s="20"/>
      <c r="BD42" s="20"/>
      <c r="BE42" s="20"/>
      <c r="BF42" s="22" t="s">
        <v>19</v>
      </c>
    </row>
    <row r="43" spans="2:58" x14ac:dyDescent="0.3">
      <c r="B43" s="39"/>
      <c r="C43" s="48"/>
      <c r="D43" s="40"/>
      <c r="E43" s="41"/>
      <c r="F43" s="41"/>
      <c r="G43" s="15" t="s">
        <v>20</v>
      </c>
      <c r="H43" s="15">
        <f t="shared" si="0"/>
        <v>0</v>
      </c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6"/>
      <c r="AJ43" s="17"/>
      <c r="AK43" s="17"/>
      <c r="AL43" s="16"/>
      <c r="AM43" s="17"/>
      <c r="AN43" s="17"/>
      <c r="AO43" s="17"/>
      <c r="AP43" s="17"/>
      <c r="AQ43" s="17"/>
      <c r="AR43" s="17"/>
      <c r="AS43" s="17"/>
      <c r="AT43" s="17"/>
      <c r="AU43" s="17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8"/>
    </row>
    <row r="44" spans="2:58" x14ac:dyDescent="0.3">
      <c r="B44" s="39" t="s">
        <v>29</v>
      </c>
      <c r="C44" s="48"/>
      <c r="D44" s="40">
        <f>SUM(AM44:AP44)</f>
        <v>0</v>
      </c>
      <c r="E44" s="41">
        <v>46097</v>
      </c>
      <c r="F44" s="41">
        <v>46134</v>
      </c>
      <c r="G44" s="15" t="s">
        <v>18</v>
      </c>
      <c r="H44" s="15">
        <f t="shared" si="0"/>
        <v>63</v>
      </c>
      <c r="I44" s="19"/>
      <c r="J44" s="20"/>
      <c r="K44" s="20"/>
      <c r="L44" s="20"/>
      <c r="M44" s="20" t="s">
        <v>19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 t="s">
        <v>19</v>
      </c>
      <c r="AJ44" s="20"/>
      <c r="AK44" s="20"/>
      <c r="AL44" s="20"/>
      <c r="AM44" s="37">
        <v>0</v>
      </c>
      <c r="AN44" s="37">
        <v>0</v>
      </c>
      <c r="AO44" s="37">
        <v>0</v>
      </c>
      <c r="AP44" s="20">
        <v>0</v>
      </c>
      <c r="AQ44" s="20">
        <v>0</v>
      </c>
      <c r="AR44" s="20">
        <v>0</v>
      </c>
      <c r="AS44" s="20"/>
      <c r="AT44" s="20">
        <v>18</v>
      </c>
      <c r="AU44" s="20">
        <f>(63-AT44)/2</f>
        <v>22.5</v>
      </c>
      <c r="AV44" s="20" t="s">
        <v>19</v>
      </c>
      <c r="AW44" s="20" t="s">
        <v>19</v>
      </c>
      <c r="AX44" s="20">
        <f>63-AT44-AU44</f>
        <v>22.5</v>
      </c>
      <c r="AY44" s="20"/>
      <c r="AZ44" s="20"/>
      <c r="BA44" s="20"/>
      <c r="BB44" s="20"/>
      <c r="BC44" s="20"/>
      <c r="BD44" s="20"/>
      <c r="BE44" s="20"/>
      <c r="BF44" s="22" t="s">
        <v>19</v>
      </c>
    </row>
    <row r="45" spans="2:58" x14ac:dyDescent="0.3">
      <c r="B45" s="39"/>
      <c r="C45" s="48"/>
      <c r="D45" s="40"/>
      <c r="E45" s="41"/>
      <c r="F45" s="41"/>
      <c r="G45" s="15" t="s">
        <v>20</v>
      </c>
      <c r="H45" s="15">
        <f t="shared" si="0"/>
        <v>0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6"/>
      <c r="AJ45" s="17"/>
      <c r="AK45" s="17"/>
      <c r="AL45" s="16"/>
      <c r="AM45" s="17"/>
      <c r="AN45" s="17"/>
      <c r="AO45" s="17"/>
      <c r="AP45" s="17"/>
      <c r="AQ45" s="17"/>
      <c r="AR45" s="17"/>
      <c r="AS45" s="17"/>
      <c r="AT45" s="17"/>
      <c r="AU45" s="17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8"/>
    </row>
    <row r="46" spans="2:58" x14ac:dyDescent="0.3">
      <c r="B46" s="39" t="s">
        <v>32</v>
      </c>
      <c r="C46" s="48"/>
      <c r="D46" s="40">
        <f>SUM(AU46)</f>
        <v>0</v>
      </c>
      <c r="E46" s="41">
        <v>46097</v>
      </c>
      <c r="F46" s="41">
        <v>46134</v>
      </c>
      <c r="G46" s="15" t="s">
        <v>18</v>
      </c>
      <c r="H46" s="15">
        <f t="shared" si="0"/>
        <v>63</v>
      </c>
      <c r="I46" s="19"/>
      <c r="J46" s="20"/>
      <c r="K46" s="20"/>
      <c r="L46" s="20"/>
      <c r="M46" s="20" t="s">
        <v>19</v>
      </c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 t="s">
        <v>19</v>
      </c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37">
        <v>0</v>
      </c>
      <c r="AV46" s="20" t="s">
        <v>19</v>
      </c>
      <c r="AW46" s="20" t="s">
        <v>19</v>
      </c>
      <c r="AX46" s="20"/>
      <c r="AY46" s="20"/>
      <c r="AZ46" s="20"/>
      <c r="BA46" s="20"/>
      <c r="BB46" s="20"/>
      <c r="BC46" s="20">
        <v>63</v>
      </c>
      <c r="BD46" s="20"/>
      <c r="BE46" s="20"/>
      <c r="BF46" s="22" t="s">
        <v>19</v>
      </c>
    </row>
    <row r="47" spans="2:58" ht="15" customHeight="1" x14ac:dyDescent="0.3">
      <c r="B47" s="42"/>
      <c r="C47" s="49"/>
      <c r="D47" s="43"/>
      <c r="E47" s="44"/>
      <c r="F47" s="44"/>
      <c r="G47" s="25" t="s">
        <v>20</v>
      </c>
      <c r="H47" s="25">
        <f t="shared" si="0"/>
        <v>0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6"/>
      <c r="AJ47" s="27"/>
      <c r="AK47" s="27"/>
      <c r="AL47" s="26"/>
      <c r="AM47" s="27"/>
      <c r="AN47" s="27"/>
      <c r="AO47" s="27"/>
      <c r="AP47" s="27"/>
      <c r="AQ47" s="27"/>
      <c r="AR47" s="27"/>
      <c r="AS47" s="27"/>
      <c r="AT47" s="27"/>
      <c r="AU47" s="27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8"/>
    </row>
    <row r="49" spans="39:39" ht="14.4" customHeight="1" x14ac:dyDescent="0.3">
      <c r="AM49" t="s">
        <v>28</v>
      </c>
    </row>
  </sheetData>
  <mergeCells count="107">
    <mergeCell ref="I2:M2"/>
    <mergeCell ref="N2:R2"/>
    <mergeCell ref="S2:X2"/>
    <mergeCell ref="Y2:AD2"/>
    <mergeCell ref="AE2:AI2"/>
    <mergeCell ref="AJ2:AO2"/>
    <mergeCell ref="AP2:AU2"/>
    <mergeCell ref="AV2:BA2"/>
    <mergeCell ref="BB2:BF2"/>
    <mergeCell ref="B2:B3"/>
    <mergeCell ref="C2:C3"/>
    <mergeCell ref="D2:D3"/>
    <mergeCell ref="E2:E3"/>
    <mergeCell ref="F2:F3"/>
    <mergeCell ref="G2:G3"/>
    <mergeCell ref="H2:H3"/>
    <mergeCell ref="B4:B5"/>
    <mergeCell ref="C4:C17"/>
    <mergeCell ref="D4:D5"/>
    <mergeCell ref="E4:E5"/>
    <mergeCell ref="F4:F5"/>
    <mergeCell ref="B6:B7"/>
    <mergeCell ref="D6:D7"/>
    <mergeCell ref="E6:E7"/>
    <mergeCell ref="F6:F7"/>
    <mergeCell ref="B8:B9"/>
    <mergeCell ref="D8:D9"/>
    <mergeCell ref="E8:E9"/>
    <mergeCell ref="F8:F9"/>
    <mergeCell ref="B10:B11"/>
    <mergeCell ref="D10:D11"/>
    <mergeCell ref="E10:E11"/>
    <mergeCell ref="F10:F11"/>
    <mergeCell ref="B12:B13"/>
    <mergeCell ref="D12:D13"/>
    <mergeCell ref="E12:E13"/>
    <mergeCell ref="F12:F13"/>
    <mergeCell ref="B14:B15"/>
    <mergeCell ref="D14:D15"/>
    <mergeCell ref="E14:E15"/>
    <mergeCell ref="F14:F15"/>
    <mergeCell ref="B16:B17"/>
    <mergeCell ref="D16:D17"/>
    <mergeCell ref="E16:E17"/>
    <mergeCell ref="F16:F17"/>
    <mergeCell ref="B18:B19"/>
    <mergeCell ref="C18:C33"/>
    <mergeCell ref="D18:D19"/>
    <mergeCell ref="E18:E19"/>
    <mergeCell ref="F18:F19"/>
    <mergeCell ref="B20:B21"/>
    <mergeCell ref="D20:D21"/>
    <mergeCell ref="E20:E21"/>
    <mergeCell ref="F20:F21"/>
    <mergeCell ref="B22:B23"/>
    <mergeCell ref="D22:D23"/>
    <mergeCell ref="E22:E23"/>
    <mergeCell ref="F22:F23"/>
    <mergeCell ref="B24:B25"/>
    <mergeCell ref="D24:D25"/>
    <mergeCell ref="E24:E25"/>
    <mergeCell ref="F24:F25"/>
    <mergeCell ref="B26:B27"/>
    <mergeCell ref="D26:D27"/>
    <mergeCell ref="E26:E27"/>
    <mergeCell ref="F26:F27"/>
    <mergeCell ref="B28:B29"/>
    <mergeCell ref="D28:D29"/>
    <mergeCell ref="E28:E29"/>
    <mergeCell ref="F28:F29"/>
    <mergeCell ref="B30:B31"/>
    <mergeCell ref="D30:D31"/>
    <mergeCell ref="E30:E31"/>
    <mergeCell ref="F30:F31"/>
    <mergeCell ref="B32:B33"/>
    <mergeCell ref="D32:D33"/>
    <mergeCell ref="E32:E33"/>
    <mergeCell ref="F32:F33"/>
    <mergeCell ref="C34:C47"/>
    <mergeCell ref="B34:B35"/>
    <mergeCell ref="D34:D35"/>
    <mergeCell ref="E34:E35"/>
    <mergeCell ref="F34:F35"/>
    <mergeCell ref="B36:B37"/>
    <mergeCell ref="D36:D37"/>
    <mergeCell ref="E36:E37"/>
    <mergeCell ref="F36:F37"/>
    <mergeCell ref="B38:B39"/>
    <mergeCell ref="D38:D39"/>
    <mergeCell ref="E38:E39"/>
    <mergeCell ref="F38:F39"/>
    <mergeCell ref="B40:B41"/>
    <mergeCell ref="D40:D41"/>
    <mergeCell ref="E40:E41"/>
    <mergeCell ref="B46:B47"/>
    <mergeCell ref="D46:D47"/>
    <mergeCell ref="E46:E47"/>
    <mergeCell ref="F46:F47"/>
    <mergeCell ref="F40:F41"/>
    <mergeCell ref="B42:B43"/>
    <mergeCell ref="D42:D43"/>
    <mergeCell ref="E42:E43"/>
    <mergeCell ref="F42:F43"/>
    <mergeCell ref="B44:B45"/>
    <mergeCell ref="D44:D45"/>
    <mergeCell ref="E44:E45"/>
    <mergeCell ref="F44:F4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BBC00-76FA-47B4-B9B3-89C423AF1102}">
  <dimension ref="G12:K34"/>
  <sheetViews>
    <sheetView tabSelected="1" topLeftCell="A9" zoomScale="130" zoomScaleNormal="130" workbookViewId="0">
      <selection activeCell="H34" sqref="H34"/>
    </sheetView>
  </sheetViews>
  <sheetFormatPr defaultRowHeight="14.4" x14ac:dyDescent="0.3"/>
  <cols>
    <col min="7" max="7" width="42.77734375" customWidth="1"/>
  </cols>
  <sheetData>
    <row r="12" spans="7:7" x14ac:dyDescent="0.3">
      <c r="G12" s="77"/>
    </row>
    <row r="13" spans="7:7" x14ac:dyDescent="0.3">
      <c r="G13" s="77"/>
    </row>
    <row r="14" spans="7:7" x14ac:dyDescent="0.3">
      <c r="G14" s="77"/>
    </row>
    <row r="15" spans="7:7" x14ac:dyDescent="0.3">
      <c r="G15" s="77"/>
    </row>
    <row r="16" spans="7:7" x14ac:dyDescent="0.3">
      <c r="G16" s="77"/>
    </row>
    <row r="17" spans="7:11" x14ac:dyDescent="0.3">
      <c r="G17" s="77"/>
    </row>
    <row r="18" spans="7:11" x14ac:dyDescent="0.3">
      <c r="G18" s="77"/>
    </row>
    <row r="22" spans="7:11" x14ac:dyDescent="0.3">
      <c r="G22" t="s">
        <v>40</v>
      </c>
    </row>
    <row r="23" spans="7:11" x14ac:dyDescent="0.3">
      <c r="G23" s="77" t="s">
        <v>33</v>
      </c>
      <c r="H23">
        <v>816</v>
      </c>
      <c r="I23">
        <v>408</v>
      </c>
      <c r="J23">
        <f>I23-H23</f>
        <v>-408</v>
      </c>
    </row>
    <row r="24" spans="7:11" x14ac:dyDescent="0.3">
      <c r="G24" s="77" t="s">
        <v>34</v>
      </c>
      <c r="H24">
        <v>1</v>
      </c>
      <c r="I24">
        <v>3</v>
      </c>
    </row>
    <row r="25" spans="7:11" x14ac:dyDescent="0.3">
      <c r="G25" s="77" t="s">
        <v>35</v>
      </c>
      <c r="H25">
        <v>335.9</v>
      </c>
      <c r="I25">
        <v>260</v>
      </c>
      <c r="J25">
        <f t="shared" ref="J24:K31" si="0">I25-H25</f>
        <v>-75.899999999999977</v>
      </c>
    </row>
    <row r="26" spans="7:11" x14ac:dyDescent="0.3">
      <c r="G26" s="77" t="s">
        <v>36</v>
      </c>
      <c r="H26">
        <v>135.69999999999999</v>
      </c>
      <c r="I26">
        <v>256</v>
      </c>
      <c r="J26">
        <f t="shared" si="0"/>
        <v>120.30000000000001</v>
      </c>
    </row>
    <row r="27" spans="7:11" x14ac:dyDescent="0.3">
      <c r="G27" s="77" t="s">
        <v>37</v>
      </c>
    </row>
    <row r="28" spans="7:11" x14ac:dyDescent="0.3">
      <c r="G28" s="77" t="s">
        <v>38</v>
      </c>
    </row>
    <row r="29" spans="7:11" x14ac:dyDescent="0.3">
      <c r="G29" s="77" t="s">
        <v>39</v>
      </c>
    </row>
    <row r="31" spans="7:11" x14ac:dyDescent="0.3">
      <c r="H31" s="78" t="s">
        <v>41</v>
      </c>
      <c r="I31">
        <v>251.7</v>
      </c>
      <c r="J31">
        <v>372</v>
      </c>
      <c r="K31">
        <f t="shared" si="0"/>
        <v>120.30000000000001</v>
      </c>
    </row>
    <row r="34" spans="8:8" x14ac:dyDescent="0.3">
      <c r="H34" t="s">
        <v>42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2026-02-27T14:51:14Z</dcterms:created>
  <dcterms:modified xsi:type="dcterms:W3CDTF">2026-04-24T19:32:34Z</dcterms:modified>
</cp:coreProperties>
</file>