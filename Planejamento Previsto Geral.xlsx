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08A0151-7658-494E-A9A9-04D47BBF4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4" i="6" l="1"/>
  <c r="AU44" i="6"/>
  <c r="AX54" i="6"/>
  <c r="AU54" i="6"/>
  <c r="H40" i="6"/>
  <c r="H59" i="6"/>
  <c r="H58" i="6"/>
  <c r="D58" i="6"/>
  <c r="H57" i="6"/>
  <c r="H56" i="6"/>
  <c r="D56" i="6"/>
  <c r="H55" i="6"/>
  <c r="D54" i="6"/>
  <c r="H53" i="6"/>
  <c r="H52" i="6"/>
  <c r="D52" i="6"/>
  <c r="H51" i="6"/>
  <c r="H50" i="6"/>
  <c r="D50" i="6"/>
  <c r="H49" i="6"/>
  <c r="H48" i="6"/>
  <c r="D48" i="6"/>
  <c r="H47" i="6"/>
  <c r="H46" i="6"/>
  <c r="D46" i="6"/>
  <c r="H45" i="6"/>
  <c r="D44" i="6"/>
  <c r="H43" i="6"/>
  <c r="H42" i="6"/>
  <c r="D42" i="6"/>
  <c r="H41" i="6"/>
  <c r="D40" i="6"/>
  <c r="H39" i="6"/>
  <c r="H38" i="6"/>
  <c r="D38" i="6"/>
  <c r="H37" i="6"/>
  <c r="H36" i="6"/>
  <c r="D36" i="6"/>
  <c r="H35" i="6"/>
  <c r="H34" i="6"/>
  <c r="D34" i="6"/>
  <c r="H33" i="6"/>
  <c r="H32" i="6"/>
  <c r="D32" i="6"/>
  <c r="H31" i="6"/>
  <c r="H30" i="6"/>
  <c r="D30" i="6"/>
  <c r="H29" i="6"/>
  <c r="H28" i="6"/>
  <c r="D28" i="6"/>
  <c r="H27" i="6"/>
  <c r="H26" i="6"/>
  <c r="D26" i="6"/>
  <c r="H25" i="6"/>
  <c r="H24" i="6"/>
  <c r="D24" i="6"/>
  <c r="H23" i="6"/>
  <c r="H22" i="6"/>
  <c r="D22" i="6"/>
  <c r="H21" i="6"/>
  <c r="H20" i="6"/>
  <c r="D20" i="6"/>
  <c r="H19" i="6"/>
  <c r="H18" i="6"/>
  <c r="D18" i="6"/>
  <c r="H17" i="6"/>
  <c r="H16" i="6"/>
  <c r="D16" i="6"/>
  <c r="H15" i="6"/>
  <c r="H14" i="6"/>
  <c r="D14" i="6"/>
  <c r="H13" i="6"/>
  <c r="H12" i="6"/>
  <c r="D12" i="6"/>
  <c r="H11" i="6"/>
  <c r="H10" i="6"/>
  <c r="D10" i="6"/>
  <c r="H9" i="6"/>
  <c r="H8" i="6"/>
  <c r="D8" i="6"/>
  <c r="H7" i="6"/>
  <c r="H6" i="6"/>
  <c r="D6" i="6"/>
  <c r="H5" i="6"/>
  <c r="H4" i="6"/>
  <c r="D4" i="6"/>
  <c r="H44" i="6" l="1"/>
  <c r="H54" i="6"/>
</calcChain>
</file>

<file path=xl/sharedStrings.xml><?xml version="1.0" encoding="utf-8"?>
<sst xmlns="http://schemas.openxmlformats.org/spreadsheetml/2006/main" count="247" uniqueCount="37">
  <si>
    <t>ATIVIDADE</t>
  </si>
  <si>
    <t>INTERDIÇÃO</t>
  </si>
  <si>
    <t>QTD</t>
  </si>
  <si>
    <t>INICIO</t>
  </si>
  <si>
    <t>TÉRMINO</t>
  </si>
  <si>
    <t>PLAN</t>
  </si>
  <si>
    <t>REAL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</si>
  <si>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</si>
  <si>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</si>
  <si>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</si>
  <si>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</si>
  <si>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</si>
  <si>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</si>
  <si>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</si>
  <si>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</si>
  <si>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</si>
  <si>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Feriado</t>
  </si>
  <si>
    <t>Remoção de pavimento asfáltico (m²)</t>
  </si>
  <si>
    <t>P</t>
  </si>
  <si>
    <t>FE</t>
  </si>
  <si>
    <t>R</t>
  </si>
  <si>
    <t>Remoção de pavimento granitico (m²)</t>
  </si>
  <si>
    <t>Escavação (m³)</t>
  </si>
  <si>
    <t>Desmonte de Rocha (m³)</t>
  </si>
  <si>
    <t xml:space="preserve"> Assentamento de tubulação (m)</t>
  </si>
  <si>
    <t>Implantação de PV (und)</t>
  </si>
  <si>
    <t>Reaterro compactado (m³)</t>
  </si>
  <si>
    <t>Reposição de pavimento granitico (m²)</t>
  </si>
  <si>
    <t>Reposição de pavimento asfáltico (m²)</t>
  </si>
  <si>
    <t>Sondagem (und)</t>
  </si>
  <si>
    <t xml:space="preserve"> </t>
  </si>
  <si>
    <t xml:space="preserve">  </t>
  </si>
  <si>
    <t>Reaterro compactado (m²)</t>
  </si>
  <si>
    <t>Escavação (m)</t>
  </si>
  <si>
    <t>Remoção de pavimento asfáltico (m)</t>
  </si>
  <si>
    <t>Reposição de pavimento asfáltico (m)</t>
  </si>
  <si>
    <t>Remoção de pavimento granitico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</si>
</sst>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0.0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C8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left" indent="1"/>
    </xf>
    <xf numFmtId="1" fontId="1" fillId="0" borderId="0" xfId="0" applyNumberFormat="1" applyFont="1"/>
    <xf numFmtId="0" fontId="1" fillId="0" borderId="0" xfId="0" applyFont="1" applyAlignment="1">
      <alignment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5" fontId="3" fillId="0" borderId="10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6" fontId="1" fillId="0" borderId="0" xfId="0" applyNumberFormat="1" applyFont="1"/>
    <xf numFmtId="0" fontId="1" fillId="3" borderId="14" xfId="0" applyFont="1" applyFill="1" applyBorder="1" applyAlignment="1">
      <alignment horizontal="center"/>
    </xf>
    <xf numFmtId="165" fontId="3" fillId="0" borderId="16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3" fillId="5" borderId="18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165" fontId="1" fillId="5" borderId="14" xfId="0" applyNumberFormat="1" applyFont="1" applyFill="1" applyBorder="1" applyAlignment="1">
      <alignment horizontal="center" vertical="center"/>
    </xf>
    <xf numFmtId="165" fontId="4" fillId="6" borderId="14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165" fontId="3" fillId="0" borderId="24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4" fillId="7" borderId="14" xfId="0" applyNumberFormat="1" applyFont="1" applyFill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4" fillId="8" borderId="14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4" fillId="9" borderId="14" xfId="0" applyNumberFormat="1" applyFont="1" applyFill="1" applyBorder="1" applyAlignment="1">
      <alignment horizontal="center" vertical="center"/>
    </xf>
    <xf numFmtId="165" fontId="4" fillId="10" borderId="14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center" indent="1"/>
    </xf>
    <xf numFmtId="1" fontId="4" fillId="9" borderId="14" xfId="0" applyNumberFormat="1" applyFont="1" applyFill="1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indent="1"/>
    </xf>
    <xf numFmtId="1" fontId="4" fillId="9" borderId="6" xfId="0" applyNumberFormat="1" applyFont="1" applyFill="1" applyBorder="1" applyAlignment="1">
      <alignment horizontal="center" vertical="center"/>
    </xf>
    <xf numFmtId="14" fontId="1" fillId="3" borderId="6" xfId="0" applyNumberFormat="1" applyFont="1" applyFill="1" applyBorder="1" applyAlignment="1">
      <alignment horizontal="center" vertical="center"/>
    </xf>
    <xf numFmtId="1" fontId="4" fillId="7" borderId="14" xfId="0" applyNumberFormat="1" applyFont="1" applyFill="1" applyBorder="1" applyAlignment="1">
      <alignment horizontal="center" vertical="center"/>
    </xf>
    <xf numFmtId="1" fontId="4" fillId="7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4" fillId="9" borderId="9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left" vertical="center" indent="1"/>
    </xf>
    <xf numFmtId="1" fontId="4" fillId="10" borderId="14" xfId="0" applyNumberFormat="1" applyFont="1" applyFill="1" applyBorder="1" applyAlignment="1">
      <alignment horizontal="center" vertical="center"/>
    </xf>
    <xf numFmtId="1" fontId="1" fillId="7" borderId="14" xfId="0" applyNumberFormat="1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left" vertical="center" indent="1"/>
    </xf>
    <xf numFmtId="1" fontId="4" fillId="8" borderId="14" xfId="0" applyNumberFormat="1" applyFont="1" applyFill="1" applyBorder="1" applyAlignment="1">
      <alignment horizontal="center" vertical="center"/>
    </xf>
    <xf numFmtId="1" fontId="1" fillId="5" borderId="14" xfId="0" applyNumberFormat="1" applyFont="1" applyFill="1" applyBorder="1" applyAlignment="1">
      <alignment horizontal="center" vertical="center"/>
    </xf>
    <xf numFmtId="1" fontId="1" fillId="5" borderId="6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 indent="1"/>
    </xf>
    <xf numFmtId="1" fontId="1" fillId="6" borderId="1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" fontId="1" fillId="5" borderId="2" xfId="0" applyNumberFormat="1" applyFont="1" applyFill="1" applyBorder="1" applyAlignment="1">
      <alignment horizontal="center" vertical="center"/>
    </xf>
    <xf numFmtId="14" fontId="1" fillId="3" borderId="15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61"/>
  <sheetViews>
    <sheetView showGridLines="0" tabSelected="1" zoomScaleNormal="100" workbookViewId="0">
      <pane xSplit="8" ySplit="3" topLeftCell="AN35" activePane="bottomRight" state="frozen"/>
      <selection pane="topRight"/>
      <selection pane="bottomLeft"/>
      <selection pane="bottomRight" activeCell="AQ50" sqref="AQ50"/>
    </sheetView>
  </sheetViews>
  <sheetFormatPr defaultRowHeight="14.4" customHeight="1" x14ac:dyDescent="0.3"/>
  <cols>
    <col min="1" max="1" width="1.6640625" customWidth="1"/>
    <col min="2" max="2" width="36" style="1" customWidth="1"/>
    <col min="3" max="3" width="12.6640625" customWidth="1"/>
    <col min="4" max="4" width="4.44140625" style="2" customWidth="1"/>
    <col min="5" max="6" width="12.6640625" customWidth="1"/>
    <col min="7" max="7" width="5.44140625" customWidth="1"/>
    <col min="8" max="8" width="8.77734375" customWidth="1"/>
    <col min="9" max="11" width="6.88671875" customWidth="1"/>
    <col min="12" max="12" width="7.21875" customWidth="1"/>
    <col min="13" max="13" width="8.33203125" customWidth="1"/>
    <col min="14" max="14" width="6.88671875" customWidth="1"/>
    <col min="15" max="15" width="7.6640625" customWidth="1"/>
    <col min="16" max="16" width="7.21875" customWidth="1"/>
    <col min="17" max="22" width="7.6640625" customWidth="1"/>
    <col min="23" max="23" width="8" customWidth="1"/>
    <col min="24" max="24" width="7.6640625" customWidth="1"/>
    <col min="25" max="31" width="8" customWidth="1"/>
    <col min="32" max="32" width="7.6640625" customWidth="1"/>
    <col min="33" max="33" width="6.109375" customWidth="1"/>
    <col min="34" max="34" width="6.5546875" customWidth="1"/>
    <col min="35" max="35" width="8.33203125" customWidth="1"/>
    <col min="36" max="39" width="6.5546875" customWidth="1"/>
    <col min="40" max="40" width="7.21875" customWidth="1"/>
    <col min="41" max="41" width="6.88671875" customWidth="1"/>
    <col min="42" max="47" width="7.21875" customWidth="1"/>
    <col min="48" max="48" width="8.33203125" customWidth="1"/>
    <col min="49" max="58" width="6.6640625" customWidth="1"/>
  </cols>
  <sheetData>
    <row r="1" spans="2:66" ht="15" customHeight="1" x14ac:dyDescent="0.3"/>
    <row r="2" spans="2:66" s="3" customFormat="1" x14ac:dyDescent="0.3">
      <c r="B2" s="74" t="s">
        <v>0</v>
      </c>
      <c r="C2" s="76" t="s">
        <v>1</v>
      </c>
      <c r="D2" s="78" t="s">
        <v>2</v>
      </c>
      <c r="E2" s="76" t="s">
        <v>3</v>
      </c>
      <c r="F2" s="76" t="s">
        <v>4</v>
      </c>
      <c r="G2" s="76" t="s">
        <v>5</v>
      </c>
      <c r="H2" s="76" t="s">
        <v>6</v>
      </c>
      <c r="I2" s="85" t="s">
        <v>7</v>
      </c>
      <c r="J2" s="76"/>
      <c r="K2" s="76"/>
      <c r="L2" s="76"/>
      <c r="M2" s="76"/>
      <c r="N2" s="76" t="s">
        <v>8</v>
      </c>
      <c r="O2" s="76"/>
      <c r="P2" s="76"/>
      <c r="Q2" s="76"/>
      <c r="R2" s="76"/>
      <c r="S2" s="76" t="s">
        <v>9</v>
      </c>
      <c r="T2" s="76"/>
      <c r="U2" s="76"/>
      <c r="V2" s="76"/>
      <c r="W2" s="76"/>
      <c r="X2" s="76"/>
      <c r="Y2" s="76" t="s">
        <v>10</v>
      </c>
      <c r="Z2" s="76"/>
      <c r="AA2" s="76"/>
      <c r="AB2" s="76"/>
      <c r="AC2" s="76"/>
      <c r="AD2" s="76"/>
      <c r="AE2" s="76" t="s">
        <v>11</v>
      </c>
      <c r="AF2" s="76"/>
      <c r="AG2" s="76"/>
      <c r="AH2" s="76"/>
      <c r="AI2" s="76"/>
      <c r="AJ2" s="76" t="s">
        <v>12</v>
      </c>
      <c r="AK2" s="76"/>
      <c r="AL2" s="76"/>
      <c r="AM2" s="76"/>
      <c r="AN2" s="76"/>
      <c r="AO2" s="76"/>
      <c r="AP2" s="76" t="s">
        <v>13</v>
      </c>
      <c r="AQ2" s="76"/>
      <c r="AR2" s="76"/>
      <c r="AS2" s="76"/>
      <c r="AT2" s="76"/>
      <c r="AU2" s="76"/>
      <c r="AV2" s="76" t="s">
        <v>14</v>
      </c>
      <c r="AW2" s="76"/>
      <c r="AX2" s="76"/>
      <c r="AY2" s="76"/>
      <c r="AZ2" s="76"/>
      <c r="BA2" s="76"/>
      <c r="BB2" s="76" t="s">
        <v>15</v>
      </c>
      <c r="BC2" s="76"/>
      <c r="BD2" s="76"/>
      <c r="BE2" s="76"/>
      <c r="BF2" s="86"/>
    </row>
    <row r="3" spans="2:66" s="3" customFormat="1" ht="15" customHeight="1" x14ac:dyDescent="0.3">
      <c r="B3" s="75"/>
      <c r="C3" s="77"/>
      <c r="D3" s="79"/>
      <c r="E3" s="77"/>
      <c r="F3" s="77"/>
      <c r="G3" s="77"/>
      <c r="H3" s="77"/>
      <c r="I3" s="4">
        <v>46083</v>
      </c>
      <c r="J3" s="5">
        <v>46084</v>
      </c>
      <c r="K3" s="5">
        <v>46085</v>
      </c>
      <c r="L3" s="5">
        <v>46086</v>
      </c>
      <c r="M3" s="5" t="s">
        <v>16</v>
      </c>
      <c r="N3" s="5">
        <v>46090</v>
      </c>
      <c r="O3" s="5">
        <v>46091</v>
      </c>
      <c r="P3" s="5">
        <v>46092</v>
      </c>
      <c r="Q3" s="5">
        <v>46093</v>
      </c>
      <c r="R3" s="5">
        <v>46094</v>
      </c>
      <c r="S3" s="5">
        <v>46097</v>
      </c>
      <c r="T3" s="5">
        <v>46098</v>
      </c>
      <c r="U3" s="5">
        <v>46099</v>
      </c>
      <c r="V3" s="5">
        <v>46100</v>
      </c>
      <c r="W3" s="5">
        <v>46101</v>
      </c>
      <c r="X3" s="5">
        <v>46102</v>
      </c>
      <c r="Y3" s="5">
        <v>46104</v>
      </c>
      <c r="Z3" s="5">
        <v>46105</v>
      </c>
      <c r="AA3" s="5">
        <v>46106</v>
      </c>
      <c r="AB3" s="5">
        <v>46107</v>
      </c>
      <c r="AC3" s="5">
        <v>46108</v>
      </c>
      <c r="AD3" s="5">
        <v>46109</v>
      </c>
      <c r="AE3" s="5">
        <v>46111</v>
      </c>
      <c r="AF3" s="5">
        <v>46112</v>
      </c>
      <c r="AG3" s="5">
        <v>46113</v>
      </c>
      <c r="AH3" s="5">
        <v>46114</v>
      </c>
      <c r="AI3" s="5" t="s">
        <v>16</v>
      </c>
      <c r="AJ3" s="5">
        <v>46118</v>
      </c>
      <c r="AK3" s="5">
        <v>46119</v>
      </c>
      <c r="AL3" s="5">
        <v>46120</v>
      </c>
      <c r="AM3" s="5">
        <v>46121</v>
      </c>
      <c r="AN3" s="5">
        <v>46122</v>
      </c>
      <c r="AO3" s="5">
        <v>46123</v>
      </c>
      <c r="AP3" s="5">
        <v>46125</v>
      </c>
      <c r="AQ3" s="5">
        <v>46126</v>
      </c>
      <c r="AR3" s="5">
        <v>46127</v>
      </c>
      <c r="AS3" s="5">
        <v>46128</v>
      </c>
      <c r="AT3" s="5">
        <v>46129</v>
      </c>
      <c r="AU3" s="5">
        <v>46130</v>
      </c>
      <c r="AV3" s="5" t="s">
        <v>16</v>
      </c>
      <c r="AW3" s="5" t="s">
        <v>16</v>
      </c>
      <c r="AX3" s="5">
        <v>46134</v>
      </c>
      <c r="AY3" s="5">
        <v>46135</v>
      </c>
      <c r="AZ3" s="5">
        <v>46136</v>
      </c>
      <c r="BA3" s="5">
        <v>46137</v>
      </c>
      <c r="BB3" s="5">
        <v>46139</v>
      </c>
      <c r="BC3" s="5">
        <v>46140</v>
      </c>
      <c r="BD3" s="5">
        <v>46141</v>
      </c>
      <c r="BE3" s="5">
        <v>46142</v>
      </c>
      <c r="BF3" s="6" t="s">
        <v>16</v>
      </c>
    </row>
    <row r="4" spans="2:66" x14ac:dyDescent="0.3">
      <c r="B4" s="55" t="s">
        <v>17</v>
      </c>
      <c r="C4" s="80">
        <v>1</v>
      </c>
      <c r="D4" s="83">
        <f>SUM(K4:AC4)</f>
        <v>800</v>
      </c>
      <c r="E4" s="60">
        <v>46083</v>
      </c>
      <c r="F4" s="60">
        <v>46122</v>
      </c>
      <c r="G4" s="7" t="s">
        <v>18</v>
      </c>
      <c r="H4" s="8">
        <f>SUM(I4:BF4)</f>
        <v>800</v>
      </c>
      <c r="I4" s="9"/>
      <c r="J4" s="10"/>
      <c r="K4" s="11">
        <v>0</v>
      </c>
      <c r="L4" s="11">
        <v>112</v>
      </c>
      <c r="M4" s="12" t="s">
        <v>19</v>
      </c>
      <c r="N4" s="11">
        <v>68</v>
      </c>
      <c r="O4" s="11">
        <v>72</v>
      </c>
      <c r="P4" s="11">
        <v>0</v>
      </c>
      <c r="Q4" s="11">
        <v>82</v>
      </c>
      <c r="R4" s="11">
        <v>0</v>
      </c>
      <c r="S4" s="11">
        <v>0</v>
      </c>
      <c r="T4" s="11">
        <v>107</v>
      </c>
      <c r="U4" s="11">
        <v>0</v>
      </c>
      <c r="V4" s="11">
        <v>0</v>
      </c>
      <c r="W4" s="11">
        <v>0</v>
      </c>
      <c r="X4" s="11">
        <v>34</v>
      </c>
      <c r="Y4" s="11">
        <v>65</v>
      </c>
      <c r="Z4" s="11">
        <v>65</v>
      </c>
      <c r="AA4" s="11">
        <v>65</v>
      </c>
      <c r="AB4" s="11">
        <v>65</v>
      </c>
      <c r="AC4" s="11">
        <v>65</v>
      </c>
      <c r="AD4" s="12"/>
      <c r="AE4" s="12"/>
      <c r="AF4" s="12"/>
      <c r="AG4" s="12"/>
      <c r="AH4" s="12"/>
      <c r="AI4" s="12" t="s">
        <v>19</v>
      </c>
      <c r="AJ4" s="12"/>
      <c r="AK4" s="12"/>
      <c r="AL4" s="10"/>
      <c r="AM4" s="12"/>
      <c r="AN4" s="12"/>
      <c r="AO4" s="12"/>
      <c r="AP4" s="12"/>
      <c r="AQ4" s="12"/>
      <c r="AR4" s="12"/>
      <c r="AS4" s="12"/>
      <c r="AT4" s="12"/>
      <c r="AU4" s="12"/>
      <c r="AV4" s="12" t="s">
        <v>19</v>
      </c>
      <c r="AW4" s="12" t="s">
        <v>19</v>
      </c>
      <c r="AX4" s="10"/>
      <c r="AY4" s="10"/>
      <c r="AZ4" s="10"/>
      <c r="BA4" s="10"/>
      <c r="BB4" s="10"/>
      <c r="BC4" s="10"/>
      <c r="BD4" s="10"/>
      <c r="BE4" s="10"/>
      <c r="BF4" s="13" t="s">
        <v>19</v>
      </c>
      <c r="BG4" s="14"/>
      <c r="BH4" s="14"/>
      <c r="BI4" s="14"/>
      <c r="BJ4" s="14"/>
      <c r="BK4" s="14"/>
      <c r="BL4" s="14"/>
      <c r="BM4" s="14"/>
      <c r="BN4" s="14"/>
    </row>
    <row r="5" spans="2:66" x14ac:dyDescent="0.3">
      <c r="B5" s="47"/>
      <c r="C5" s="81"/>
      <c r="D5" s="66"/>
      <c r="E5" s="49"/>
      <c r="F5" s="84"/>
      <c r="G5" s="15" t="s">
        <v>20</v>
      </c>
      <c r="H5" s="15">
        <f t="shared" ref="H5:H59" si="0">SUM(I5:BF5)</f>
        <v>869</v>
      </c>
      <c r="I5" s="16"/>
      <c r="J5" s="16"/>
      <c r="K5" s="16">
        <v>0</v>
      </c>
      <c r="L5" s="16">
        <v>112</v>
      </c>
      <c r="M5" s="16"/>
      <c r="N5" s="16">
        <v>68</v>
      </c>
      <c r="O5" s="16">
        <v>72</v>
      </c>
      <c r="P5" s="16">
        <v>0</v>
      </c>
      <c r="Q5" s="16">
        <v>82</v>
      </c>
      <c r="R5" s="16">
        <v>0</v>
      </c>
      <c r="S5" s="16">
        <v>0</v>
      </c>
      <c r="T5" s="16">
        <v>107</v>
      </c>
      <c r="U5" s="16">
        <v>0</v>
      </c>
      <c r="V5" s="16">
        <v>0</v>
      </c>
      <c r="W5" s="16">
        <v>0</v>
      </c>
      <c r="X5" s="16">
        <v>34</v>
      </c>
      <c r="Y5" s="17">
        <v>112</v>
      </c>
      <c r="Z5" s="17"/>
      <c r="AA5" s="17">
        <v>24</v>
      </c>
      <c r="AB5" s="17">
        <v>58</v>
      </c>
      <c r="AC5" s="17">
        <v>110</v>
      </c>
      <c r="AD5" s="17"/>
      <c r="AE5" s="17">
        <v>20</v>
      </c>
      <c r="AF5" s="17"/>
      <c r="AG5" s="17"/>
      <c r="AH5" s="17"/>
      <c r="AI5" s="16"/>
      <c r="AJ5" s="17">
        <v>30</v>
      </c>
      <c r="AK5" s="17">
        <v>40</v>
      </c>
      <c r="AL5" s="16">
        <v>256</v>
      </c>
      <c r="AM5" s="17"/>
      <c r="AN5" s="17"/>
      <c r="AO5" s="17"/>
      <c r="AP5" s="17"/>
      <c r="AQ5" s="17"/>
      <c r="AR5" s="17">
        <v>-256</v>
      </c>
      <c r="AS5" s="17"/>
      <c r="AT5" s="17"/>
      <c r="AU5" s="17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8"/>
      <c r="BG5" s="14"/>
      <c r="BH5" s="14"/>
      <c r="BI5" s="14"/>
      <c r="BJ5" s="14"/>
      <c r="BK5" s="14"/>
      <c r="BL5" s="14"/>
      <c r="BM5" s="14"/>
      <c r="BN5" s="14"/>
    </row>
    <row r="6" spans="2:66" x14ac:dyDescent="0.3">
      <c r="B6" s="47" t="s">
        <v>21</v>
      </c>
      <c r="C6" s="81"/>
      <c r="D6" s="66">
        <f>SUM(Y6:AC6)</f>
        <v>325</v>
      </c>
      <c r="E6" s="49">
        <v>46083</v>
      </c>
      <c r="F6" s="49">
        <v>46122</v>
      </c>
      <c r="G6" s="19" t="s">
        <v>18</v>
      </c>
      <c r="H6" s="15">
        <f t="shared" si="0"/>
        <v>325</v>
      </c>
      <c r="I6" s="20"/>
      <c r="J6" s="21"/>
      <c r="K6" s="22">
        <v>0</v>
      </c>
      <c r="L6" s="22">
        <v>0</v>
      </c>
      <c r="M6" s="23" t="s">
        <v>19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1"/>
      <c r="U6" s="21"/>
      <c r="V6" s="21"/>
      <c r="W6" s="21"/>
      <c r="X6" s="21"/>
      <c r="Y6" s="22">
        <v>65</v>
      </c>
      <c r="Z6" s="22">
        <v>65</v>
      </c>
      <c r="AA6" s="22">
        <v>65</v>
      </c>
      <c r="AB6" s="22">
        <v>65</v>
      </c>
      <c r="AC6" s="22">
        <v>65</v>
      </c>
      <c r="AD6" s="23"/>
      <c r="AE6" s="23"/>
      <c r="AF6" s="23"/>
      <c r="AG6" s="23"/>
      <c r="AH6" s="23"/>
      <c r="AI6" s="23" t="s">
        <v>19</v>
      </c>
      <c r="AJ6" s="23"/>
      <c r="AK6" s="23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19</v>
      </c>
      <c r="AW6" s="23" t="s">
        <v>19</v>
      </c>
      <c r="AX6" s="21"/>
      <c r="AY6" s="21"/>
      <c r="AZ6" s="21"/>
      <c r="BA6" s="21"/>
      <c r="BB6" s="21"/>
      <c r="BC6" s="21"/>
      <c r="BD6" s="21"/>
      <c r="BE6" s="21"/>
      <c r="BF6" s="24" t="s">
        <v>19</v>
      </c>
      <c r="BG6" s="14"/>
      <c r="BH6" s="14"/>
      <c r="BI6" s="14"/>
      <c r="BJ6" s="14"/>
      <c r="BK6" s="14"/>
      <c r="BL6" s="14"/>
      <c r="BM6" s="14"/>
      <c r="BN6" s="14"/>
    </row>
    <row r="7" spans="2:66" x14ac:dyDescent="0.3">
      <c r="B7" s="47"/>
      <c r="C7" s="81"/>
      <c r="D7" s="66"/>
      <c r="E7" s="49"/>
      <c r="F7" s="49"/>
      <c r="G7" s="15" t="s">
        <v>20</v>
      </c>
      <c r="H7" s="15">
        <f t="shared" si="0"/>
        <v>869</v>
      </c>
      <c r="I7" s="16"/>
      <c r="J7" s="16"/>
      <c r="K7" s="16"/>
      <c r="L7" s="16">
        <v>112</v>
      </c>
      <c r="M7" s="16"/>
      <c r="N7" s="16">
        <v>68</v>
      </c>
      <c r="O7" s="16">
        <v>72</v>
      </c>
      <c r="P7" s="16"/>
      <c r="Q7" s="16">
        <v>82</v>
      </c>
      <c r="R7" s="16"/>
      <c r="S7" s="16"/>
      <c r="T7" s="16">
        <v>107</v>
      </c>
      <c r="U7" s="16"/>
      <c r="V7" s="16"/>
      <c r="W7" s="16"/>
      <c r="X7" s="16">
        <v>34</v>
      </c>
      <c r="Y7" s="17">
        <v>112</v>
      </c>
      <c r="Z7" s="17"/>
      <c r="AA7" s="17">
        <v>24</v>
      </c>
      <c r="AB7" s="17">
        <v>58</v>
      </c>
      <c r="AC7" s="17">
        <v>110</v>
      </c>
      <c r="AD7" s="17"/>
      <c r="AE7" s="17">
        <v>20</v>
      </c>
      <c r="AF7" s="17"/>
      <c r="AG7" s="17"/>
      <c r="AH7" s="17"/>
      <c r="AI7" s="16"/>
      <c r="AJ7" s="17">
        <v>30</v>
      </c>
      <c r="AK7" s="17">
        <v>40</v>
      </c>
      <c r="AL7" s="16">
        <v>256</v>
      </c>
      <c r="AM7" s="17"/>
      <c r="AN7" s="17"/>
      <c r="AO7" s="17"/>
      <c r="AP7" s="17"/>
      <c r="AQ7" s="17"/>
      <c r="AR7" s="17">
        <v>-256</v>
      </c>
      <c r="AS7" s="17"/>
      <c r="AT7" s="17"/>
      <c r="AU7" s="17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8"/>
      <c r="BG7" s="14"/>
      <c r="BH7" s="14"/>
      <c r="BI7" s="14"/>
      <c r="BJ7" s="14"/>
      <c r="BK7" s="14"/>
      <c r="BL7" s="14"/>
      <c r="BM7" s="14"/>
      <c r="BN7" s="14"/>
    </row>
    <row r="8" spans="2:66" x14ac:dyDescent="0.3">
      <c r="B8" s="47" t="s">
        <v>22</v>
      </c>
      <c r="C8" s="81"/>
      <c r="D8" s="66">
        <f>SUM(N8:AD8)</f>
        <v>422.00000000000011</v>
      </c>
      <c r="E8" s="49">
        <v>46083</v>
      </c>
      <c r="F8" s="49">
        <v>46122</v>
      </c>
      <c r="G8" s="15" t="s">
        <v>18</v>
      </c>
      <c r="H8" s="15">
        <f t="shared" si="0"/>
        <v>422.00000000000011</v>
      </c>
      <c r="I8" s="25"/>
      <c r="J8" s="26"/>
      <c r="K8" s="26"/>
      <c r="L8" s="26"/>
      <c r="M8" s="26" t="s">
        <v>19</v>
      </c>
      <c r="N8" s="27">
        <v>48</v>
      </c>
      <c r="O8" s="27">
        <v>42</v>
      </c>
      <c r="P8" s="27">
        <v>25</v>
      </c>
      <c r="Q8" s="27">
        <v>20</v>
      </c>
      <c r="R8" s="27">
        <v>20</v>
      </c>
      <c r="S8" s="27">
        <v>34</v>
      </c>
      <c r="T8" s="27">
        <v>13</v>
      </c>
      <c r="U8" s="27">
        <v>28</v>
      </c>
      <c r="V8" s="27">
        <v>25</v>
      </c>
      <c r="W8" s="27">
        <v>15</v>
      </c>
      <c r="X8" s="27">
        <v>24</v>
      </c>
      <c r="Y8" s="27">
        <v>0</v>
      </c>
      <c r="Z8" s="27">
        <v>25.6</v>
      </c>
      <c r="AA8" s="27">
        <v>25.6</v>
      </c>
      <c r="AB8" s="27">
        <v>25.6</v>
      </c>
      <c r="AC8" s="27">
        <v>25.6</v>
      </c>
      <c r="AD8" s="27">
        <v>25.6</v>
      </c>
      <c r="AE8" s="26"/>
      <c r="AF8" s="26"/>
      <c r="AG8" s="26"/>
      <c r="AH8" s="26"/>
      <c r="AI8" s="26" t="s">
        <v>19</v>
      </c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 t="s">
        <v>19</v>
      </c>
      <c r="AW8" s="26" t="s">
        <v>19</v>
      </c>
      <c r="AX8" s="26"/>
      <c r="AY8" s="26"/>
      <c r="AZ8" s="26"/>
      <c r="BA8" s="26"/>
      <c r="BB8" s="26"/>
      <c r="BC8" s="26"/>
      <c r="BD8" s="26"/>
      <c r="BE8" s="26"/>
      <c r="BF8" s="28" t="s">
        <v>19</v>
      </c>
      <c r="BG8" s="14"/>
      <c r="BH8" s="14"/>
      <c r="BI8" s="14"/>
      <c r="BJ8" s="14"/>
      <c r="BK8" s="14"/>
      <c r="BL8" s="14"/>
      <c r="BM8" s="14"/>
      <c r="BN8" s="14"/>
    </row>
    <row r="9" spans="2:66" x14ac:dyDescent="0.3">
      <c r="B9" s="47"/>
      <c r="C9" s="81"/>
      <c r="D9" s="66"/>
      <c r="E9" s="49"/>
      <c r="F9" s="49"/>
      <c r="G9" s="15" t="s">
        <v>20</v>
      </c>
      <c r="H9" s="15">
        <f t="shared" si="0"/>
        <v>473.4</v>
      </c>
      <c r="I9" s="16"/>
      <c r="J9" s="16"/>
      <c r="K9" s="16"/>
      <c r="L9" s="16"/>
      <c r="M9" s="16"/>
      <c r="N9" s="16">
        <v>47.88</v>
      </c>
      <c r="O9" s="16">
        <v>41.58</v>
      </c>
      <c r="P9" s="16">
        <v>25.2</v>
      </c>
      <c r="Q9" s="16">
        <v>20.16</v>
      </c>
      <c r="R9" s="16">
        <v>20.16</v>
      </c>
      <c r="S9" s="16">
        <v>34.020000000000003</v>
      </c>
      <c r="T9" s="16">
        <v>12.6</v>
      </c>
      <c r="U9" s="16">
        <v>27.72</v>
      </c>
      <c r="V9" s="16">
        <v>25.2</v>
      </c>
      <c r="W9" s="16">
        <v>15.12</v>
      </c>
      <c r="X9" s="16">
        <v>24</v>
      </c>
      <c r="Y9" s="17"/>
      <c r="Z9" s="17"/>
      <c r="AA9" s="17">
        <v>28.98</v>
      </c>
      <c r="AB9" s="17">
        <v>35.28</v>
      </c>
      <c r="AC9" s="17">
        <v>26</v>
      </c>
      <c r="AD9" s="17">
        <v>58</v>
      </c>
      <c r="AE9" s="17"/>
      <c r="AF9" s="17"/>
      <c r="AG9" s="17"/>
      <c r="AH9" s="17"/>
      <c r="AI9" s="16"/>
      <c r="AJ9" s="17"/>
      <c r="AK9" s="17"/>
      <c r="AL9" s="16">
        <v>31.5</v>
      </c>
      <c r="AM9" s="17"/>
      <c r="AN9" s="17"/>
      <c r="AO9" s="17"/>
      <c r="AP9" s="17"/>
      <c r="AQ9" s="17"/>
      <c r="AR9" s="17"/>
      <c r="AS9" s="17"/>
      <c r="AT9" s="17"/>
      <c r="AU9" s="17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8"/>
      <c r="BG9" s="14"/>
      <c r="BH9" s="14"/>
      <c r="BI9" s="14"/>
      <c r="BJ9" s="14"/>
      <c r="BK9" s="14"/>
      <c r="BL9" s="14"/>
      <c r="BM9" s="14"/>
      <c r="BN9" s="14"/>
    </row>
    <row r="10" spans="2:66" x14ac:dyDescent="0.3">
      <c r="B10" s="47" t="s">
        <v>23</v>
      </c>
      <c r="C10" s="81"/>
      <c r="D10" s="66">
        <f>SUM(O10:AK10)</f>
        <v>63.3</v>
      </c>
      <c r="E10" s="49">
        <v>46084</v>
      </c>
      <c r="F10" s="49">
        <v>46125</v>
      </c>
      <c r="G10" s="15" t="s">
        <v>18</v>
      </c>
      <c r="H10" s="15">
        <f t="shared" si="0"/>
        <v>63.3</v>
      </c>
      <c r="I10" s="25"/>
      <c r="J10" s="26"/>
      <c r="K10" s="26"/>
      <c r="L10" s="26"/>
      <c r="M10" s="26" t="s">
        <v>19</v>
      </c>
      <c r="N10" s="26"/>
      <c r="O10" s="29">
        <v>4.8</v>
      </c>
      <c r="P10" s="29">
        <v>5</v>
      </c>
      <c r="Q10" s="29">
        <v>5</v>
      </c>
      <c r="R10" s="29">
        <v>5</v>
      </c>
      <c r="S10" s="29">
        <v>1</v>
      </c>
      <c r="T10" s="29">
        <v>1</v>
      </c>
      <c r="U10" s="29">
        <v>2</v>
      </c>
      <c r="V10" s="29">
        <v>0</v>
      </c>
      <c r="W10" s="29">
        <v>3</v>
      </c>
      <c r="X10" s="29">
        <v>5</v>
      </c>
      <c r="Y10" s="29">
        <v>3</v>
      </c>
      <c r="Z10" s="29">
        <v>2</v>
      </c>
      <c r="AA10" s="29">
        <v>3</v>
      </c>
      <c r="AB10" s="29">
        <v>2</v>
      </c>
      <c r="AC10" s="29">
        <v>3</v>
      </c>
      <c r="AD10" s="29">
        <v>2</v>
      </c>
      <c r="AE10" s="29">
        <v>3</v>
      </c>
      <c r="AF10" s="29">
        <v>2</v>
      </c>
      <c r="AG10" s="29">
        <v>3</v>
      </c>
      <c r="AH10" s="29">
        <v>2</v>
      </c>
      <c r="AI10" s="26" t="s">
        <v>19</v>
      </c>
      <c r="AJ10" s="29">
        <v>2</v>
      </c>
      <c r="AK10" s="29">
        <v>4.5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 t="s">
        <v>19</v>
      </c>
      <c r="AW10" s="26" t="s">
        <v>19</v>
      </c>
      <c r="AX10" s="26"/>
      <c r="AY10" s="26"/>
      <c r="AZ10" s="26"/>
      <c r="BA10" s="26"/>
      <c r="BB10" s="26"/>
      <c r="BC10" s="26"/>
      <c r="BD10" s="26"/>
      <c r="BE10" s="26"/>
      <c r="BF10" s="28" t="s">
        <v>19</v>
      </c>
      <c r="BG10" s="14"/>
      <c r="BH10" s="14"/>
      <c r="BI10" s="14"/>
      <c r="BJ10" s="14"/>
      <c r="BK10" s="14"/>
      <c r="BL10" s="14"/>
      <c r="BM10" s="14"/>
      <c r="BN10" s="14"/>
    </row>
    <row r="11" spans="2:66" x14ac:dyDescent="0.3">
      <c r="B11" s="47"/>
      <c r="C11" s="81"/>
      <c r="D11" s="66"/>
      <c r="E11" s="49"/>
      <c r="F11" s="49"/>
      <c r="G11" s="15" t="s">
        <v>20</v>
      </c>
      <c r="H11" s="15">
        <f t="shared" si="0"/>
        <v>94.259999999999991</v>
      </c>
      <c r="I11" s="16"/>
      <c r="J11" s="16"/>
      <c r="K11" s="16"/>
      <c r="L11" s="16"/>
      <c r="M11" s="16"/>
      <c r="N11" s="16"/>
      <c r="O11" s="16">
        <v>4.8</v>
      </c>
      <c r="P11" s="16">
        <v>5</v>
      </c>
      <c r="Q11" s="16">
        <v>5</v>
      </c>
      <c r="R11" s="16">
        <v>5</v>
      </c>
      <c r="S11" s="16">
        <v>0.94</v>
      </c>
      <c r="T11" s="16">
        <v>0.9</v>
      </c>
      <c r="U11" s="16">
        <v>1.5</v>
      </c>
      <c r="V11" s="16">
        <v>0</v>
      </c>
      <c r="W11" s="16">
        <v>3.2</v>
      </c>
      <c r="X11" s="16">
        <v>5.2</v>
      </c>
      <c r="Y11" s="17"/>
      <c r="Z11" s="17">
        <v>14</v>
      </c>
      <c r="AA11" s="17">
        <v>9.6</v>
      </c>
      <c r="AB11" s="17">
        <v>6.72</v>
      </c>
      <c r="AC11" s="17">
        <v>19.2</v>
      </c>
      <c r="AD11" s="17">
        <v>3</v>
      </c>
      <c r="AE11" s="17">
        <v>3.6</v>
      </c>
      <c r="AF11" s="17"/>
      <c r="AG11" s="17"/>
      <c r="AH11" s="17">
        <v>3.6</v>
      </c>
      <c r="AI11" s="16"/>
      <c r="AJ11" s="17">
        <v>1.5</v>
      </c>
      <c r="AK11" s="17"/>
      <c r="AL11" s="16">
        <v>1.5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8"/>
      <c r="BG11" s="14"/>
      <c r="BH11" s="14"/>
      <c r="BI11" s="14"/>
      <c r="BJ11" s="14"/>
      <c r="BK11" s="14"/>
      <c r="BL11" s="14"/>
      <c r="BM11" s="14"/>
      <c r="BN11" s="14"/>
    </row>
    <row r="12" spans="2:66" x14ac:dyDescent="0.3">
      <c r="B12" s="72" t="s">
        <v>24</v>
      </c>
      <c r="C12" s="81"/>
      <c r="D12" s="73">
        <f>SUM(N12:AN12)</f>
        <v>400</v>
      </c>
      <c r="E12" s="49">
        <v>46085</v>
      </c>
      <c r="F12" s="49">
        <v>46126</v>
      </c>
      <c r="G12" s="15" t="s">
        <v>18</v>
      </c>
      <c r="H12" s="15">
        <f t="shared" si="0"/>
        <v>400</v>
      </c>
      <c r="I12" s="25"/>
      <c r="J12" s="26"/>
      <c r="K12" s="26"/>
      <c r="L12" s="26"/>
      <c r="M12" s="26" t="s">
        <v>19</v>
      </c>
      <c r="N12" s="30">
        <v>30</v>
      </c>
      <c r="O12" s="30">
        <v>6</v>
      </c>
      <c r="P12" s="30">
        <v>30</v>
      </c>
      <c r="Q12" s="30">
        <v>12</v>
      </c>
      <c r="R12" s="30">
        <v>6</v>
      </c>
      <c r="S12" s="30">
        <v>6</v>
      </c>
      <c r="T12" s="30">
        <v>24</v>
      </c>
      <c r="U12" s="30">
        <v>12</v>
      </c>
      <c r="V12" s="30">
        <v>0</v>
      </c>
      <c r="W12" s="30">
        <v>42</v>
      </c>
      <c r="X12" s="30">
        <v>12</v>
      </c>
      <c r="Y12" s="30">
        <v>0</v>
      </c>
      <c r="Z12" s="30">
        <v>17</v>
      </c>
      <c r="AA12" s="30">
        <v>17</v>
      </c>
      <c r="AB12" s="30">
        <v>17</v>
      </c>
      <c r="AC12" s="30">
        <v>17</v>
      </c>
      <c r="AD12" s="30">
        <v>17</v>
      </c>
      <c r="AE12" s="30">
        <v>17</v>
      </c>
      <c r="AF12" s="30">
        <v>17</v>
      </c>
      <c r="AG12" s="30">
        <v>17</v>
      </c>
      <c r="AH12" s="30">
        <v>17</v>
      </c>
      <c r="AI12" s="26" t="s">
        <v>19</v>
      </c>
      <c r="AK12" s="30">
        <v>36</v>
      </c>
      <c r="AL12" s="30">
        <v>18</v>
      </c>
      <c r="AM12" s="30">
        <v>13</v>
      </c>
      <c r="AN12" s="30"/>
      <c r="AO12" s="26"/>
      <c r="AP12" s="26"/>
      <c r="AQ12" s="26"/>
      <c r="AR12" s="26"/>
      <c r="AS12" s="26"/>
      <c r="AT12" s="26"/>
      <c r="AU12" s="26"/>
      <c r="AV12" s="26" t="s">
        <v>19</v>
      </c>
      <c r="AW12" s="26" t="s">
        <v>19</v>
      </c>
      <c r="AX12" s="26"/>
      <c r="AY12" s="26"/>
      <c r="AZ12" s="26"/>
      <c r="BA12" s="26"/>
      <c r="BB12" s="26"/>
      <c r="BC12" s="26"/>
      <c r="BD12" s="26"/>
      <c r="BE12" s="26"/>
      <c r="BF12" s="28" t="s">
        <v>19</v>
      </c>
      <c r="BG12" s="14"/>
      <c r="BH12" s="14"/>
      <c r="BI12" s="14"/>
      <c r="BJ12" s="14"/>
      <c r="BK12" s="14"/>
      <c r="BL12" s="14"/>
      <c r="BM12" s="14"/>
      <c r="BN12" s="14"/>
    </row>
    <row r="13" spans="2:66" x14ac:dyDescent="0.3">
      <c r="B13" s="72"/>
      <c r="C13" s="81"/>
      <c r="D13" s="73"/>
      <c r="E13" s="49"/>
      <c r="F13" s="49"/>
      <c r="G13" s="15" t="s">
        <v>20</v>
      </c>
      <c r="H13" s="15">
        <f t="shared" si="0"/>
        <v>400</v>
      </c>
      <c r="I13" s="16"/>
      <c r="J13" s="16"/>
      <c r="K13" s="16"/>
      <c r="L13" s="16"/>
      <c r="M13" s="16"/>
      <c r="N13" s="16">
        <v>30</v>
      </c>
      <c r="O13" s="16">
        <v>6</v>
      </c>
      <c r="P13" s="16">
        <v>30</v>
      </c>
      <c r="Q13" s="16">
        <v>12</v>
      </c>
      <c r="R13" s="16">
        <v>6</v>
      </c>
      <c r="S13" s="16">
        <v>6</v>
      </c>
      <c r="T13" s="16">
        <v>24</v>
      </c>
      <c r="U13" s="16">
        <v>12</v>
      </c>
      <c r="V13" s="16">
        <v>0</v>
      </c>
      <c r="W13" s="16">
        <v>42</v>
      </c>
      <c r="X13" s="16">
        <v>12</v>
      </c>
      <c r="Y13" s="17"/>
      <c r="Z13" s="17"/>
      <c r="AA13" s="17">
        <v>24</v>
      </c>
      <c r="AB13" s="17">
        <v>36</v>
      </c>
      <c r="AC13" s="17">
        <v>12</v>
      </c>
      <c r="AD13" s="17">
        <v>30</v>
      </c>
      <c r="AE13" s="17"/>
      <c r="AF13" s="17">
        <v>24</v>
      </c>
      <c r="AG13" s="17">
        <v>12</v>
      </c>
      <c r="AH13" s="17"/>
      <c r="AI13" s="16"/>
      <c r="AJ13" s="17"/>
      <c r="AK13" s="17">
        <v>36</v>
      </c>
      <c r="AL13" s="16">
        <v>18</v>
      </c>
      <c r="AM13" s="17">
        <v>30</v>
      </c>
      <c r="AN13" s="17"/>
      <c r="AO13" s="17"/>
      <c r="AP13" s="17"/>
      <c r="AQ13" s="17">
        <v>-2</v>
      </c>
      <c r="AR13" s="17"/>
      <c r="AS13" s="17"/>
      <c r="AT13" s="17"/>
      <c r="AU13" s="17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8"/>
      <c r="BG13" s="14"/>
      <c r="BH13" s="14"/>
      <c r="BI13" s="14"/>
      <c r="BJ13" s="14"/>
      <c r="BK13" s="14"/>
      <c r="BL13" s="14"/>
      <c r="BM13" s="14"/>
      <c r="BN13" s="14"/>
    </row>
    <row r="14" spans="2:66" x14ac:dyDescent="0.3">
      <c r="B14" s="47" t="s">
        <v>25</v>
      </c>
      <c r="C14" s="81"/>
      <c r="D14" s="66">
        <f>SUM(R14:AM14)</f>
        <v>5</v>
      </c>
      <c r="E14" s="49">
        <v>46090</v>
      </c>
      <c r="F14" s="49">
        <v>46126</v>
      </c>
      <c r="G14" s="15" t="s">
        <v>18</v>
      </c>
      <c r="H14" s="15">
        <f t="shared" si="0"/>
        <v>5</v>
      </c>
      <c r="I14" s="25"/>
      <c r="J14" s="26"/>
      <c r="K14" s="26"/>
      <c r="L14" s="26"/>
      <c r="M14" s="26" t="s">
        <v>19</v>
      </c>
      <c r="N14" s="26"/>
      <c r="O14" s="26"/>
      <c r="P14" s="26"/>
      <c r="Q14" s="26"/>
      <c r="R14" s="29">
        <v>1</v>
      </c>
      <c r="S14" s="26"/>
      <c r="T14" s="26"/>
      <c r="U14" s="26"/>
      <c r="V14" s="29">
        <v>1</v>
      </c>
      <c r="W14" s="26"/>
      <c r="X14" s="26"/>
      <c r="Y14" s="26"/>
      <c r="Z14" s="29">
        <v>1</v>
      </c>
      <c r="AA14" s="26"/>
      <c r="AB14" s="26"/>
      <c r="AC14" s="26"/>
      <c r="AD14" s="26"/>
      <c r="AE14" s="26"/>
      <c r="AF14" s="26"/>
      <c r="AG14" s="29">
        <v>1</v>
      </c>
      <c r="AH14" s="26"/>
      <c r="AI14" s="26" t="s">
        <v>19</v>
      </c>
      <c r="AJ14" s="26"/>
      <c r="AK14" s="26"/>
      <c r="AL14" s="26"/>
      <c r="AM14" s="29">
        <v>1</v>
      </c>
      <c r="AN14" s="26"/>
      <c r="AO14" s="26"/>
      <c r="AP14" s="26"/>
      <c r="AQ14" s="26"/>
      <c r="AR14" s="26"/>
      <c r="AS14" s="26"/>
      <c r="AT14" s="26"/>
      <c r="AU14" s="26"/>
      <c r="AV14" s="26" t="s">
        <v>19</v>
      </c>
      <c r="AW14" s="26" t="s">
        <v>19</v>
      </c>
      <c r="AX14" s="26"/>
      <c r="AY14" s="26"/>
      <c r="AZ14" s="26"/>
      <c r="BA14" s="26"/>
      <c r="BB14" s="26"/>
      <c r="BC14" s="26"/>
      <c r="BD14" s="26"/>
      <c r="BE14" s="26"/>
      <c r="BF14" s="28" t="s">
        <v>19</v>
      </c>
      <c r="BG14" s="14"/>
      <c r="BH14" s="14"/>
      <c r="BI14" s="14"/>
      <c r="BJ14" s="14"/>
      <c r="BK14" s="14"/>
      <c r="BL14" s="14"/>
      <c r="BM14" s="14"/>
      <c r="BN14" s="14"/>
    </row>
    <row r="15" spans="2:66" x14ac:dyDescent="0.3">
      <c r="B15" s="47"/>
      <c r="C15" s="81"/>
      <c r="D15" s="66"/>
      <c r="E15" s="49"/>
      <c r="F15" s="49"/>
      <c r="G15" s="15" t="s">
        <v>20</v>
      </c>
      <c r="H15" s="15">
        <f t="shared" si="0"/>
        <v>5</v>
      </c>
      <c r="I15" s="16"/>
      <c r="J15" s="16"/>
      <c r="K15" s="16"/>
      <c r="L15" s="16"/>
      <c r="M15" s="16"/>
      <c r="N15" s="16"/>
      <c r="O15" s="16"/>
      <c r="P15" s="16"/>
      <c r="Q15" s="16"/>
      <c r="R15" s="16">
        <v>1</v>
      </c>
      <c r="S15" s="16"/>
      <c r="T15" s="16"/>
      <c r="U15" s="16"/>
      <c r="V15" s="16">
        <v>1</v>
      </c>
      <c r="W15" s="16"/>
      <c r="X15" s="16"/>
      <c r="Y15" s="17">
        <v>1</v>
      </c>
      <c r="Z15" s="17"/>
      <c r="AA15" s="17"/>
      <c r="AB15" s="17">
        <v>1</v>
      </c>
      <c r="AC15" s="17"/>
      <c r="AD15" s="17"/>
      <c r="AE15" s="17"/>
      <c r="AF15" s="17"/>
      <c r="AG15" s="17"/>
      <c r="AH15" s="17"/>
      <c r="AI15" s="16"/>
      <c r="AJ15" s="17"/>
      <c r="AK15" s="17"/>
      <c r="AL15" s="16">
        <v>1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8"/>
      <c r="BG15" s="14"/>
      <c r="BH15" s="14"/>
      <c r="BI15" s="14"/>
      <c r="BJ15" s="14"/>
      <c r="BK15" s="14"/>
      <c r="BL15" s="14"/>
      <c r="BM15" s="14"/>
      <c r="BN15" s="14"/>
    </row>
    <row r="16" spans="2:66" x14ac:dyDescent="0.3">
      <c r="B16" s="47" t="s">
        <v>26</v>
      </c>
      <c r="C16" s="81"/>
      <c r="D16" s="66">
        <f>SUM(N16:AN16)</f>
        <v>372</v>
      </c>
      <c r="E16" s="49">
        <v>46085</v>
      </c>
      <c r="F16" s="49">
        <v>46127</v>
      </c>
      <c r="G16" s="15" t="s">
        <v>18</v>
      </c>
      <c r="H16" s="15">
        <f t="shared" si="0"/>
        <v>372</v>
      </c>
      <c r="I16" s="25"/>
      <c r="J16" s="26"/>
      <c r="K16" s="26"/>
      <c r="L16" s="26"/>
      <c r="M16" s="26" t="s">
        <v>19</v>
      </c>
      <c r="N16" s="29">
        <v>27</v>
      </c>
      <c r="O16" s="29">
        <v>0</v>
      </c>
      <c r="P16" s="29">
        <v>28</v>
      </c>
      <c r="Q16" s="29">
        <v>8</v>
      </c>
      <c r="R16" s="29">
        <v>6</v>
      </c>
      <c r="S16" s="29">
        <v>0</v>
      </c>
      <c r="T16" s="29">
        <v>0</v>
      </c>
      <c r="U16" s="29">
        <v>17</v>
      </c>
      <c r="V16" s="29">
        <v>20</v>
      </c>
      <c r="W16" s="29">
        <v>17</v>
      </c>
      <c r="X16" s="29">
        <v>31</v>
      </c>
      <c r="Y16" s="29">
        <v>14</v>
      </c>
      <c r="Z16" s="29">
        <v>14</v>
      </c>
      <c r="AA16" s="29">
        <v>14</v>
      </c>
      <c r="AB16" s="29">
        <v>14</v>
      </c>
      <c r="AC16" s="29">
        <v>14</v>
      </c>
      <c r="AD16" s="29">
        <v>14</v>
      </c>
      <c r="AE16" s="29">
        <v>14</v>
      </c>
      <c r="AF16" s="29">
        <v>15</v>
      </c>
      <c r="AG16" s="29">
        <v>15</v>
      </c>
      <c r="AH16" s="29">
        <v>15</v>
      </c>
      <c r="AI16" s="26" t="s">
        <v>19</v>
      </c>
      <c r="AJ16" s="29">
        <v>15</v>
      </c>
      <c r="AK16" s="29">
        <v>15</v>
      </c>
      <c r="AL16" s="29">
        <v>15</v>
      </c>
      <c r="AM16" s="29">
        <v>15</v>
      </c>
      <c r="AN16" s="29">
        <v>15</v>
      </c>
      <c r="AO16" s="26"/>
      <c r="AP16" s="26"/>
      <c r="AQ16" s="26"/>
      <c r="AR16" s="26"/>
      <c r="AS16" s="26"/>
      <c r="AT16" s="26"/>
      <c r="AU16" s="26"/>
      <c r="AV16" s="26" t="s">
        <v>19</v>
      </c>
      <c r="AW16" s="26" t="s">
        <v>19</v>
      </c>
      <c r="AX16" s="26"/>
      <c r="AY16" s="26"/>
      <c r="AZ16" s="26"/>
      <c r="BA16" s="26"/>
      <c r="BB16" s="26"/>
      <c r="BC16" s="26"/>
      <c r="BD16" s="26"/>
      <c r="BE16" s="26"/>
      <c r="BF16" s="28" t="s">
        <v>19</v>
      </c>
      <c r="BG16" s="14"/>
      <c r="BH16" s="14"/>
      <c r="BI16" s="14"/>
      <c r="BJ16" s="14"/>
      <c r="BK16" s="14"/>
      <c r="BL16" s="14"/>
      <c r="BM16" s="14"/>
      <c r="BN16" s="14"/>
    </row>
    <row r="17" spans="2:66" x14ac:dyDescent="0.3">
      <c r="B17" s="47"/>
      <c r="C17" s="81"/>
      <c r="D17" s="66"/>
      <c r="E17" s="49"/>
      <c r="F17" s="49"/>
      <c r="G17" s="15" t="s">
        <v>20</v>
      </c>
      <c r="H17" s="15">
        <f t="shared" si="0"/>
        <v>425.32</v>
      </c>
      <c r="I17" s="16"/>
      <c r="J17" s="16"/>
      <c r="K17" s="16"/>
      <c r="L17" s="16"/>
      <c r="M17" s="16"/>
      <c r="N17" s="16">
        <v>27</v>
      </c>
      <c r="O17" s="16">
        <v>0</v>
      </c>
      <c r="P17" s="16">
        <v>27.9</v>
      </c>
      <c r="Q17" s="16">
        <v>7.56</v>
      </c>
      <c r="R17" s="16">
        <v>5.58</v>
      </c>
      <c r="S17" s="16">
        <v>0</v>
      </c>
      <c r="T17" s="16">
        <v>0</v>
      </c>
      <c r="U17" s="16">
        <v>16.739999999999998</v>
      </c>
      <c r="V17" s="16">
        <v>20.46</v>
      </c>
      <c r="W17" s="16">
        <v>16.739999999999998</v>
      </c>
      <c r="X17" s="16">
        <v>30.69</v>
      </c>
      <c r="Y17" s="17"/>
      <c r="Z17" s="17"/>
      <c r="AA17" s="17"/>
      <c r="AB17" s="17"/>
      <c r="AC17" s="17">
        <v>33.479999999999997</v>
      </c>
      <c r="AD17" s="17">
        <v>68.8</v>
      </c>
      <c r="AE17" s="17"/>
      <c r="AF17" s="17">
        <v>22.32</v>
      </c>
      <c r="AG17" s="17"/>
      <c r="AH17" s="17">
        <v>70</v>
      </c>
      <c r="AI17" s="16"/>
      <c r="AJ17" s="17"/>
      <c r="AK17" s="17"/>
      <c r="AL17" s="16">
        <v>37.6</v>
      </c>
      <c r="AM17" s="17"/>
      <c r="AN17" s="17">
        <v>40.450000000000003</v>
      </c>
      <c r="AO17" s="17"/>
      <c r="AP17" s="17"/>
      <c r="AQ17" s="17"/>
      <c r="AR17" s="17"/>
      <c r="AS17" s="17"/>
      <c r="AT17" s="17"/>
      <c r="AU17" s="17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8"/>
      <c r="BG17" s="14"/>
      <c r="BH17" s="14"/>
      <c r="BI17" s="14"/>
      <c r="BJ17" s="14"/>
      <c r="BK17" s="14"/>
      <c r="BL17" s="14"/>
      <c r="BM17" s="14"/>
      <c r="BN17" s="14"/>
    </row>
    <row r="18" spans="2:66" x14ac:dyDescent="0.3">
      <c r="B18" s="47" t="s">
        <v>27</v>
      </c>
      <c r="C18" s="81"/>
      <c r="D18" s="66">
        <f>SUM(R18:AO18)</f>
        <v>285</v>
      </c>
      <c r="E18" s="49">
        <v>46090</v>
      </c>
      <c r="F18" s="49">
        <v>46129</v>
      </c>
      <c r="G18" s="15" t="s">
        <v>18</v>
      </c>
      <c r="H18" s="15">
        <f t="shared" si="0"/>
        <v>325</v>
      </c>
      <c r="I18" s="25"/>
      <c r="J18" s="26"/>
      <c r="K18" s="26"/>
      <c r="L18" s="26"/>
      <c r="M18" s="26" t="s">
        <v>19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9">
        <v>40</v>
      </c>
      <c r="AH18" s="29">
        <v>41.25</v>
      </c>
      <c r="AI18" s="26" t="s">
        <v>19</v>
      </c>
      <c r="AJ18" s="29">
        <v>0</v>
      </c>
      <c r="AK18" s="29">
        <v>41.25</v>
      </c>
      <c r="AL18" s="29">
        <v>40</v>
      </c>
      <c r="AM18" s="29">
        <v>41.25</v>
      </c>
      <c r="AN18" s="29">
        <v>40</v>
      </c>
      <c r="AO18" s="29">
        <v>41.25</v>
      </c>
      <c r="AP18" s="26">
        <v>40</v>
      </c>
      <c r="AQ18" s="26"/>
      <c r="AR18" s="26"/>
      <c r="AS18" s="26"/>
      <c r="AT18" s="26"/>
      <c r="AU18" s="26"/>
      <c r="AV18" s="26" t="s">
        <v>19</v>
      </c>
      <c r="AW18" s="26" t="s">
        <v>19</v>
      </c>
      <c r="AX18" s="26"/>
      <c r="AY18" s="26"/>
      <c r="AZ18" s="26"/>
      <c r="BA18" s="26"/>
      <c r="BB18" s="26"/>
      <c r="BC18" s="26"/>
      <c r="BD18" s="26"/>
      <c r="BE18" s="26"/>
      <c r="BF18" s="28" t="s">
        <v>19</v>
      </c>
      <c r="BG18" s="14"/>
      <c r="BH18" s="14"/>
      <c r="BI18" s="14"/>
      <c r="BJ18" s="14"/>
      <c r="BK18" s="14"/>
      <c r="BL18" s="14"/>
      <c r="BM18" s="14"/>
      <c r="BN18" s="14"/>
    </row>
    <row r="19" spans="2:66" x14ac:dyDescent="0.3">
      <c r="B19" s="47"/>
      <c r="C19" s="81"/>
      <c r="D19" s="66"/>
      <c r="E19" s="49"/>
      <c r="F19" s="49"/>
      <c r="G19" s="15" t="s">
        <v>20</v>
      </c>
      <c r="H19" s="15">
        <f t="shared" si="0"/>
        <v>341.4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/>
      <c r="Z19" s="17"/>
      <c r="AA19" s="17"/>
      <c r="AB19" s="17"/>
      <c r="AC19" s="17"/>
      <c r="AD19" s="17"/>
      <c r="AE19" s="17"/>
      <c r="AF19" s="17"/>
      <c r="AG19" s="17">
        <v>-70</v>
      </c>
      <c r="AH19" s="17">
        <v>70</v>
      </c>
      <c r="AI19" s="16"/>
      <c r="AJ19" s="17">
        <v>50</v>
      </c>
      <c r="AK19" s="17"/>
      <c r="AL19" s="16">
        <v>132.5</v>
      </c>
      <c r="AM19" s="17">
        <v>117.5</v>
      </c>
      <c r="AN19" s="17">
        <v>41.4</v>
      </c>
      <c r="AO19" s="17"/>
      <c r="AP19" s="17"/>
      <c r="AQ19" s="17"/>
      <c r="AR19" s="17"/>
      <c r="AS19" s="17"/>
      <c r="AT19" s="17"/>
      <c r="AU19" s="17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8"/>
      <c r="BG19" s="14"/>
      <c r="BH19" s="14"/>
      <c r="BI19" s="14"/>
      <c r="BJ19" s="14"/>
      <c r="BK19" s="14"/>
      <c r="BL19" s="14"/>
      <c r="BM19" s="14"/>
      <c r="BN19" s="14"/>
    </row>
    <row r="20" spans="2:66" x14ac:dyDescent="0.3">
      <c r="B20" s="47" t="s">
        <v>28</v>
      </c>
      <c r="C20" s="81"/>
      <c r="D20" s="66">
        <f>SUM(Z20:AS20)</f>
        <v>800</v>
      </c>
      <c r="E20" s="49">
        <v>46097</v>
      </c>
      <c r="F20" s="49">
        <v>46134</v>
      </c>
      <c r="G20" s="15" t="s">
        <v>18</v>
      </c>
      <c r="H20" s="15">
        <f t="shared" si="0"/>
        <v>800</v>
      </c>
      <c r="I20" s="25"/>
      <c r="J20" s="26"/>
      <c r="K20" s="26"/>
      <c r="L20" s="26"/>
      <c r="M20" s="26" t="s">
        <v>19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9">
        <v>360</v>
      </c>
      <c r="AG20" s="26"/>
      <c r="AH20" s="26"/>
      <c r="AI20" s="26" t="s">
        <v>19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9">
        <v>440</v>
      </c>
      <c r="AT20" s="26"/>
      <c r="AU20" s="26"/>
      <c r="AV20" s="26" t="s">
        <v>19</v>
      </c>
      <c r="AW20" s="26" t="s">
        <v>19</v>
      </c>
      <c r="AX20" s="26"/>
      <c r="AY20" s="26"/>
      <c r="AZ20" s="26"/>
      <c r="BA20" s="26"/>
      <c r="BB20" s="26"/>
      <c r="BC20" s="26"/>
      <c r="BD20" s="26"/>
      <c r="BE20" s="26"/>
      <c r="BF20" s="28" t="s">
        <v>19</v>
      </c>
      <c r="BG20" s="14"/>
      <c r="BH20" s="14"/>
      <c r="BI20" s="14"/>
      <c r="BJ20" s="14"/>
      <c r="BK20" s="14"/>
      <c r="BL20" s="14"/>
      <c r="BM20" s="14"/>
      <c r="BN20" s="14"/>
    </row>
    <row r="21" spans="2:66" ht="15" customHeight="1" x14ac:dyDescent="0.3">
      <c r="B21" s="50"/>
      <c r="C21" s="82"/>
      <c r="D21" s="67"/>
      <c r="E21" s="52"/>
      <c r="F21" s="52"/>
      <c r="G21" s="31" t="s">
        <v>20</v>
      </c>
      <c r="H21" s="31">
        <f t="shared" si="0"/>
        <v>341.4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3"/>
      <c r="Z21" s="33"/>
      <c r="AA21" s="33"/>
      <c r="AB21" s="33"/>
      <c r="AC21" s="33"/>
      <c r="AD21" s="33"/>
      <c r="AE21" s="33"/>
      <c r="AF21" s="33"/>
      <c r="AG21" s="33">
        <v>-70</v>
      </c>
      <c r="AH21" s="33">
        <v>70</v>
      </c>
      <c r="AI21" s="32"/>
      <c r="AJ21" s="33">
        <v>50</v>
      </c>
      <c r="AK21" s="33"/>
      <c r="AL21" s="32">
        <v>132.5</v>
      </c>
      <c r="AM21" s="33">
        <v>117.5</v>
      </c>
      <c r="AN21" s="33">
        <v>41.4</v>
      </c>
      <c r="AO21" s="33"/>
      <c r="AP21" s="33"/>
      <c r="AQ21" s="33"/>
      <c r="AR21" s="33"/>
      <c r="AS21" s="33"/>
      <c r="AT21" s="33"/>
      <c r="AU21" s="33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4"/>
    </row>
    <row r="22" spans="2:66" x14ac:dyDescent="0.3">
      <c r="B22" s="55" t="s">
        <v>29</v>
      </c>
      <c r="C22" s="68">
        <v>2</v>
      </c>
      <c r="D22" s="71">
        <f>AA22</f>
        <v>5</v>
      </c>
      <c r="E22" s="60">
        <v>46097</v>
      </c>
      <c r="F22" s="60">
        <v>46134</v>
      </c>
      <c r="G22" s="35" t="s">
        <v>18</v>
      </c>
      <c r="H22" s="35">
        <f t="shared" si="0"/>
        <v>5</v>
      </c>
      <c r="I22" s="36"/>
      <c r="J22" s="37"/>
      <c r="K22" s="37"/>
      <c r="L22" s="37"/>
      <c r="M22" s="37" t="s">
        <v>19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>
        <v>5</v>
      </c>
      <c r="AB22" s="37"/>
      <c r="AC22" s="37"/>
      <c r="AD22" s="37"/>
      <c r="AE22" s="37"/>
      <c r="AF22" s="37"/>
      <c r="AG22" s="37"/>
      <c r="AH22" s="37"/>
      <c r="AI22" s="37" t="s">
        <v>19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 t="s">
        <v>19</v>
      </c>
      <c r="AW22" s="37" t="s">
        <v>19</v>
      </c>
      <c r="AX22" s="37"/>
      <c r="AY22" s="37"/>
      <c r="AZ22" s="37"/>
      <c r="BA22" s="37"/>
      <c r="BB22" s="37"/>
      <c r="BC22" s="37"/>
      <c r="BD22" s="37"/>
      <c r="BE22" s="37"/>
      <c r="BF22" s="39" t="s">
        <v>19</v>
      </c>
    </row>
    <row r="23" spans="2:66" x14ac:dyDescent="0.3">
      <c r="B23" s="47"/>
      <c r="C23" s="69"/>
      <c r="D23" s="63"/>
      <c r="E23" s="49"/>
      <c r="F23" s="49"/>
      <c r="G23" s="15" t="s">
        <v>20</v>
      </c>
      <c r="H23" s="15">
        <f t="shared" si="0"/>
        <v>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7"/>
      <c r="Z23" s="17"/>
      <c r="AA23" s="17">
        <v>5</v>
      </c>
      <c r="AB23" s="17"/>
      <c r="AC23" s="17"/>
      <c r="AD23" s="17"/>
      <c r="AE23" s="17"/>
      <c r="AF23" s="17"/>
      <c r="AG23" s="17"/>
      <c r="AH23" s="17"/>
      <c r="AI23" s="16"/>
      <c r="AJ23" s="17"/>
      <c r="AK23" s="17"/>
      <c r="AL23" s="16"/>
      <c r="AM23" s="17"/>
      <c r="AN23" s="17"/>
      <c r="AO23" s="17"/>
      <c r="AP23" s="17"/>
      <c r="AQ23" s="17"/>
      <c r="AR23" s="17"/>
      <c r="AS23" s="17"/>
      <c r="AT23" s="17"/>
      <c r="AU23" s="17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8"/>
    </row>
    <row r="24" spans="2:66" x14ac:dyDescent="0.3">
      <c r="B24" s="47" t="s">
        <v>21</v>
      </c>
      <c r="C24" s="69"/>
      <c r="D24" s="63">
        <f>SUM(AB24:AK24)</f>
        <v>204</v>
      </c>
      <c r="E24" s="49">
        <v>46097</v>
      </c>
      <c r="F24" s="49">
        <v>46134</v>
      </c>
      <c r="G24" s="15" t="s">
        <v>18</v>
      </c>
      <c r="H24" s="15">
        <f t="shared" si="0"/>
        <v>408</v>
      </c>
      <c r="I24" s="25"/>
      <c r="J24" s="26"/>
      <c r="K24" s="26"/>
      <c r="L24" s="26"/>
      <c r="M24" s="26" t="s">
        <v>19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40">
        <v>0</v>
      </c>
      <c r="AC24" s="40">
        <v>0</v>
      </c>
      <c r="AD24" s="40">
        <v>0</v>
      </c>
      <c r="AE24" s="40">
        <v>0</v>
      </c>
      <c r="AF24" s="40">
        <v>68</v>
      </c>
      <c r="AG24" s="40">
        <v>68</v>
      </c>
      <c r="AH24" s="40">
        <v>68</v>
      </c>
      <c r="AI24" s="26" t="s">
        <v>19</v>
      </c>
      <c r="AJ24" s="41"/>
      <c r="AK24" s="41"/>
      <c r="AL24" s="26">
        <v>68</v>
      </c>
      <c r="AM24" s="26">
        <v>68</v>
      </c>
      <c r="AN24" s="26">
        <v>68</v>
      </c>
      <c r="AO24" s="26"/>
      <c r="AP24" s="26"/>
      <c r="AQ24" s="26"/>
      <c r="AR24" s="26"/>
      <c r="AS24" s="26"/>
      <c r="AT24" s="26"/>
      <c r="AU24" s="26"/>
      <c r="AV24" s="26" t="s">
        <v>19</v>
      </c>
      <c r="AW24" s="26" t="s">
        <v>19</v>
      </c>
      <c r="AX24" s="26"/>
      <c r="AY24" s="26"/>
      <c r="AZ24" s="26"/>
      <c r="BA24" s="26"/>
      <c r="BB24" s="26"/>
      <c r="BC24" s="26"/>
      <c r="BD24" s="26"/>
      <c r="BE24" s="26"/>
      <c r="BF24" s="28" t="s">
        <v>19</v>
      </c>
    </row>
    <row r="25" spans="2:66" x14ac:dyDescent="0.3">
      <c r="B25" s="47"/>
      <c r="C25" s="69"/>
      <c r="D25" s="63"/>
      <c r="E25" s="49"/>
      <c r="F25" s="49"/>
      <c r="G25" s="15" t="s">
        <v>20</v>
      </c>
      <c r="H25" s="15">
        <f t="shared" si="0"/>
        <v>343.5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7"/>
      <c r="Z25" s="17"/>
      <c r="AA25" s="17"/>
      <c r="AB25" s="17"/>
      <c r="AC25" s="17"/>
      <c r="AD25" s="17"/>
      <c r="AE25" s="17"/>
      <c r="AF25" s="17">
        <v>55.2</v>
      </c>
      <c r="AG25" s="17">
        <v>94.3</v>
      </c>
      <c r="AH25" s="17"/>
      <c r="AI25" s="16"/>
      <c r="AJ25" s="17"/>
      <c r="AK25" s="17"/>
      <c r="AL25" s="16"/>
      <c r="AM25" s="17"/>
      <c r="AN25" s="17">
        <v>194</v>
      </c>
      <c r="AO25" s="17"/>
      <c r="AP25" s="17"/>
      <c r="AQ25" s="17"/>
      <c r="AR25" s="17"/>
      <c r="AS25" s="17"/>
      <c r="AT25" s="17"/>
      <c r="AU25" s="17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8"/>
    </row>
    <row r="26" spans="2:66" x14ac:dyDescent="0.3">
      <c r="B26" s="47" t="s">
        <v>17</v>
      </c>
      <c r="C26" s="69"/>
      <c r="D26" s="63">
        <f>SUM(AB26:AK26)</f>
        <v>204</v>
      </c>
      <c r="E26" s="49">
        <v>46097</v>
      </c>
      <c r="F26" s="49">
        <v>46134</v>
      </c>
      <c r="G26" s="15" t="s">
        <v>18</v>
      </c>
      <c r="H26" s="15">
        <f t="shared" si="0"/>
        <v>408</v>
      </c>
      <c r="I26" s="25"/>
      <c r="J26" s="26"/>
      <c r="K26" s="26"/>
      <c r="L26" s="26"/>
      <c r="M26" s="26" t="s">
        <v>19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40">
        <v>0</v>
      </c>
      <c r="AC26" s="40">
        <v>0</v>
      </c>
      <c r="AD26" s="40">
        <v>0</v>
      </c>
      <c r="AE26" s="40">
        <v>0</v>
      </c>
      <c r="AF26" s="40">
        <v>68</v>
      </c>
      <c r="AG26" s="40">
        <v>68</v>
      </c>
      <c r="AH26" s="40">
        <v>68</v>
      </c>
      <c r="AI26" s="26" t="s">
        <v>19</v>
      </c>
      <c r="AJ26" s="41"/>
      <c r="AK26" s="41"/>
      <c r="AL26" s="26">
        <v>68</v>
      </c>
      <c r="AM26" s="26">
        <v>68</v>
      </c>
      <c r="AN26" s="26">
        <v>68</v>
      </c>
      <c r="AO26" s="26"/>
      <c r="AP26" s="26"/>
      <c r="AQ26" s="26"/>
      <c r="AR26" s="26"/>
      <c r="AS26" s="26"/>
      <c r="AT26" s="26"/>
      <c r="AU26" s="26"/>
      <c r="AV26" s="26" t="s">
        <v>19</v>
      </c>
      <c r="AW26" s="26" t="s">
        <v>19</v>
      </c>
      <c r="AX26" s="26"/>
      <c r="AY26" s="26"/>
      <c r="AZ26" s="26"/>
      <c r="BA26" s="26"/>
      <c r="BB26" s="26"/>
      <c r="BC26" s="26"/>
      <c r="BD26" s="26"/>
      <c r="BE26" s="26"/>
      <c r="BF26" s="28" t="s">
        <v>19</v>
      </c>
    </row>
    <row r="27" spans="2:66" x14ac:dyDescent="0.3">
      <c r="B27" s="47"/>
      <c r="C27" s="69"/>
      <c r="D27" s="63"/>
      <c r="E27" s="49"/>
      <c r="F27" s="49"/>
      <c r="G27" s="15" t="s">
        <v>20</v>
      </c>
      <c r="H27" s="15">
        <f t="shared" si="0"/>
        <v>343.5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7"/>
      <c r="Z27" s="17"/>
      <c r="AA27" s="17"/>
      <c r="AB27" s="17"/>
      <c r="AC27" s="17"/>
      <c r="AD27" s="17"/>
      <c r="AE27" s="17"/>
      <c r="AF27" s="17">
        <v>55.2</v>
      </c>
      <c r="AG27" s="17">
        <v>94.3</v>
      </c>
      <c r="AH27" s="17"/>
      <c r="AI27" s="16"/>
      <c r="AJ27" s="17"/>
      <c r="AK27" s="17"/>
      <c r="AL27" s="16"/>
      <c r="AM27" s="17"/>
      <c r="AN27" s="17">
        <v>194</v>
      </c>
      <c r="AO27" s="17"/>
      <c r="AP27" s="17"/>
      <c r="AQ27" s="17"/>
      <c r="AR27" s="17"/>
      <c r="AS27" s="17"/>
      <c r="AT27" s="17"/>
      <c r="AU27" s="17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8"/>
    </row>
    <row r="28" spans="2:66" x14ac:dyDescent="0.3">
      <c r="B28" s="47" t="s">
        <v>22</v>
      </c>
      <c r="C28" s="69"/>
      <c r="D28" s="63">
        <f>SUM(AC28:AH28,AK28:AP28)</f>
        <v>155.6</v>
      </c>
      <c r="E28" s="49">
        <v>46097</v>
      </c>
      <c r="F28" s="49">
        <v>46134</v>
      </c>
      <c r="G28" s="15" t="s">
        <v>18</v>
      </c>
      <c r="H28" s="15">
        <f t="shared" si="0"/>
        <v>259.60000000000002</v>
      </c>
      <c r="I28" s="25"/>
      <c r="J28" s="26"/>
      <c r="K28" s="26"/>
      <c r="L28" s="26"/>
      <c r="M28" s="26" t="s">
        <v>19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26" t="s">
        <v>19</v>
      </c>
      <c r="AJ28" s="40">
        <v>26</v>
      </c>
      <c r="AK28" s="40">
        <v>26</v>
      </c>
      <c r="AL28" s="40">
        <v>26</v>
      </c>
      <c r="AM28" s="40">
        <v>26</v>
      </c>
      <c r="AN28" s="26">
        <v>26</v>
      </c>
      <c r="AO28" s="26">
        <v>26</v>
      </c>
      <c r="AP28" s="26">
        <v>25.6</v>
      </c>
      <c r="AQ28" s="26">
        <v>26</v>
      </c>
      <c r="AR28" s="26">
        <v>26</v>
      </c>
      <c r="AS28" s="26">
        <v>26</v>
      </c>
      <c r="AT28" s="26"/>
      <c r="AU28" s="26"/>
      <c r="AV28" s="26" t="s">
        <v>19</v>
      </c>
      <c r="AW28" s="26" t="s">
        <v>19</v>
      </c>
      <c r="AX28" s="26"/>
      <c r="AY28" s="26"/>
      <c r="AZ28" s="26"/>
      <c r="BA28" s="26"/>
      <c r="BB28" s="26"/>
      <c r="BC28" s="26"/>
      <c r="BD28" s="26"/>
      <c r="BE28" s="26"/>
      <c r="BF28" s="28" t="s">
        <v>19</v>
      </c>
    </row>
    <row r="29" spans="2:66" x14ac:dyDescent="0.3">
      <c r="B29" s="47"/>
      <c r="C29" s="69"/>
      <c r="D29" s="63"/>
      <c r="E29" s="49"/>
      <c r="F29" s="49"/>
      <c r="G29" s="15" t="s">
        <v>20</v>
      </c>
      <c r="H29" s="15">
        <f t="shared" si="0"/>
        <v>189.68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6"/>
      <c r="AJ29" s="17">
        <v>35.28</v>
      </c>
      <c r="AK29" s="17">
        <v>16</v>
      </c>
      <c r="AL29" s="16"/>
      <c r="AM29" s="17">
        <v>25</v>
      </c>
      <c r="AN29" s="17">
        <v>45.36</v>
      </c>
      <c r="AO29" s="17">
        <v>30.24</v>
      </c>
      <c r="AP29" s="17">
        <v>37.799999999999997</v>
      </c>
      <c r="AQ29" s="17"/>
      <c r="AR29" s="17"/>
      <c r="AS29" s="17"/>
      <c r="AT29" s="17"/>
      <c r="AU29" s="17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8"/>
    </row>
    <row r="30" spans="2:66" x14ac:dyDescent="0.3">
      <c r="B30" s="47" t="s">
        <v>23</v>
      </c>
      <c r="C30" s="69"/>
      <c r="D30" s="63">
        <f>SUM(AD30:AH30,AJ30:BE30)</f>
        <v>19.779999999999998</v>
      </c>
      <c r="E30" s="49">
        <v>46097</v>
      </c>
      <c r="F30" s="49">
        <v>46134</v>
      </c>
      <c r="G30" s="15" t="s">
        <v>18</v>
      </c>
      <c r="H30" s="15">
        <f t="shared" si="0"/>
        <v>19.779999999999998</v>
      </c>
      <c r="I30" s="25"/>
      <c r="J30" s="26"/>
      <c r="K30" s="26"/>
      <c r="L30" s="26"/>
      <c r="M30" s="26" t="s">
        <v>19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40"/>
      <c r="AE30" s="40"/>
      <c r="AF30" s="40"/>
      <c r="AG30" s="40"/>
      <c r="AH30" s="40"/>
      <c r="AI30" s="26" t="s">
        <v>19</v>
      </c>
      <c r="AJ30" s="40"/>
      <c r="AK30" s="40"/>
      <c r="AL30" s="40">
        <v>2</v>
      </c>
      <c r="AM30" s="40">
        <v>3.94</v>
      </c>
      <c r="AN30" s="40">
        <v>2</v>
      </c>
      <c r="AO30" s="40">
        <v>3.94</v>
      </c>
      <c r="AP30" s="40">
        <v>2</v>
      </c>
      <c r="AQ30" s="40">
        <v>3.9</v>
      </c>
      <c r="AR30" s="40">
        <v>2</v>
      </c>
      <c r="AS30" s="26"/>
      <c r="AT30" s="26"/>
      <c r="AU30" s="26"/>
      <c r="AV30" s="26" t="s">
        <v>19</v>
      </c>
      <c r="AW30" s="26" t="s">
        <v>19</v>
      </c>
      <c r="AX30" s="26"/>
      <c r="AY30" s="26"/>
      <c r="AZ30" s="26"/>
      <c r="BA30" s="26"/>
      <c r="BB30" s="26"/>
      <c r="BC30" s="26"/>
      <c r="BD30" s="26"/>
      <c r="BE30" s="26"/>
      <c r="BF30" s="28" t="s">
        <v>19</v>
      </c>
    </row>
    <row r="31" spans="2:66" x14ac:dyDescent="0.3">
      <c r="B31" s="47"/>
      <c r="C31" s="69"/>
      <c r="D31" s="63"/>
      <c r="E31" s="49"/>
      <c r="F31" s="49"/>
      <c r="G31" s="15" t="s">
        <v>20</v>
      </c>
      <c r="H31" s="15">
        <f t="shared" si="0"/>
        <v>8.64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6"/>
      <c r="AJ31" s="17"/>
      <c r="AK31" s="17"/>
      <c r="AL31" s="16"/>
      <c r="AM31" s="17"/>
      <c r="AN31" s="17"/>
      <c r="AO31" s="17">
        <v>8.64</v>
      </c>
      <c r="AP31" s="17"/>
      <c r="AQ31" s="17"/>
      <c r="AR31" s="17"/>
      <c r="AS31" s="17"/>
      <c r="AT31" s="17"/>
      <c r="AU31" s="17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8"/>
    </row>
    <row r="32" spans="2:66" x14ac:dyDescent="0.3">
      <c r="B32" s="64" t="s">
        <v>24</v>
      </c>
      <c r="C32" s="69"/>
      <c r="D32" s="65">
        <f>SUM(AE32:AH32,AJ32:AW32)</f>
        <v>238</v>
      </c>
      <c r="E32" s="49">
        <v>46097</v>
      </c>
      <c r="F32" s="49">
        <v>46134</v>
      </c>
      <c r="G32" s="15" t="s">
        <v>18</v>
      </c>
      <c r="H32" s="15">
        <f t="shared" si="0"/>
        <v>238</v>
      </c>
      <c r="I32" s="25"/>
      <c r="J32" s="26"/>
      <c r="K32" s="26"/>
      <c r="L32" s="26"/>
      <c r="M32" s="26" t="s">
        <v>19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42">
        <v>0</v>
      </c>
      <c r="AF32" s="42">
        <v>0</v>
      </c>
      <c r="AG32" s="42">
        <v>0</v>
      </c>
      <c r="AH32" s="42">
        <v>0</v>
      </c>
      <c r="AI32" s="26" t="s">
        <v>19</v>
      </c>
      <c r="AJ32" s="42">
        <v>0</v>
      </c>
      <c r="AK32" s="42">
        <v>24</v>
      </c>
      <c r="AL32" s="42">
        <v>18</v>
      </c>
      <c r="AM32" s="42">
        <v>24</v>
      </c>
      <c r="AN32" s="42">
        <v>24</v>
      </c>
      <c r="AO32" s="42">
        <v>24</v>
      </c>
      <c r="AP32" s="42">
        <v>24</v>
      </c>
      <c r="AQ32" s="42">
        <v>24</v>
      </c>
      <c r="AR32" s="42">
        <v>24</v>
      </c>
      <c r="AS32" s="42">
        <v>24</v>
      </c>
      <c r="AT32" s="42">
        <v>28</v>
      </c>
      <c r="AU32" s="42"/>
      <c r="AV32" s="26" t="s">
        <v>19</v>
      </c>
      <c r="AW32" s="26" t="s">
        <v>19</v>
      </c>
      <c r="AX32" s="26"/>
      <c r="AY32" s="26"/>
      <c r="AZ32" s="26"/>
      <c r="BA32" s="26"/>
      <c r="BB32" s="26"/>
      <c r="BC32" s="26"/>
      <c r="BD32" s="26"/>
      <c r="BE32" s="26"/>
      <c r="BF32" s="28" t="s">
        <v>19</v>
      </c>
    </row>
    <row r="33" spans="2:58" x14ac:dyDescent="0.3">
      <c r="B33" s="64"/>
      <c r="C33" s="69"/>
      <c r="D33" s="65"/>
      <c r="E33" s="49"/>
      <c r="F33" s="49"/>
      <c r="G33" s="15" t="s">
        <v>20</v>
      </c>
      <c r="H33" s="15">
        <f t="shared" si="0"/>
        <v>110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6"/>
      <c r="AJ33" s="17"/>
      <c r="AK33" s="17">
        <v>36</v>
      </c>
      <c r="AL33" s="16">
        <v>12</v>
      </c>
      <c r="AM33" s="17">
        <v>20</v>
      </c>
      <c r="AN33" s="17"/>
      <c r="AO33" s="17">
        <v>12</v>
      </c>
      <c r="AP33" s="17">
        <v>30</v>
      </c>
      <c r="AQ33" s="17"/>
      <c r="AR33" s="17"/>
      <c r="AS33" s="17"/>
      <c r="AT33" s="17"/>
      <c r="AU33" s="17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8"/>
    </row>
    <row r="34" spans="2:58" x14ac:dyDescent="0.3">
      <c r="B34" s="47" t="s">
        <v>25</v>
      </c>
      <c r="C34" s="69"/>
      <c r="D34" s="53">
        <f>SUM(AJ34:AW34)</f>
        <v>3</v>
      </c>
      <c r="E34" s="49">
        <v>46097</v>
      </c>
      <c r="F34" s="49">
        <v>46134</v>
      </c>
      <c r="G34" s="15" t="s">
        <v>18</v>
      </c>
      <c r="H34" s="15">
        <f t="shared" si="0"/>
        <v>3</v>
      </c>
      <c r="I34" s="25"/>
      <c r="J34" s="26"/>
      <c r="K34" s="26"/>
      <c r="L34" s="26"/>
      <c r="M34" s="26" t="s">
        <v>19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 t="s">
        <v>19</v>
      </c>
      <c r="AJ34" s="40">
        <v>1</v>
      </c>
      <c r="AK34" s="26"/>
      <c r="AL34" s="26"/>
      <c r="AM34" s="26"/>
      <c r="AN34" s="26"/>
      <c r="AO34" s="40">
        <v>1</v>
      </c>
      <c r="AP34" s="26"/>
      <c r="AQ34" s="26"/>
      <c r="AR34" s="26"/>
      <c r="AS34" s="26"/>
      <c r="AT34" s="40">
        <v>1</v>
      </c>
      <c r="AU34" s="26"/>
      <c r="AV34" s="26" t="s">
        <v>19</v>
      </c>
      <c r="AW34" s="26" t="s">
        <v>19</v>
      </c>
      <c r="AX34" s="26"/>
      <c r="AY34" s="26"/>
      <c r="AZ34" s="26"/>
      <c r="BA34" s="26"/>
      <c r="BB34" s="26"/>
      <c r="BC34" s="26"/>
      <c r="BD34" s="26"/>
      <c r="BE34" s="26"/>
      <c r="BF34" s="28" t="s">
        <v>19</v>
      </c>
    </row>
    <row r="35" spans="2:58" x14ac:dyDescent="0.3">
      <c r="B35" s="47"/>
      <c r="C35" s="69"/>
      <c r="D35" s="53"/>
      <c r="E35" s="49"/>
      <c r="F35" s="49"/>
      <c r="G35" s="15" t="s">
        <v>20</v>
      </c>
      <c r="H35" s="15">
        <f t="shared" si="0"/>
        <v>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6"/>
      <c r="AJ35" s="17"/>
      <c r="AK35" s="17"/>
      <c r="AL35" s="16"/>
      <c r="AM35" s="17"/>
      <c r="AN35" s="17"/>
      <c r="AO35" s="17"/>
      <c r="AP35" s="17"/>
      <c r="AQ35" s="17"/>
      <c r="AR35" s="17"/>
      <c r="AS35" s="17"/>
      <c r="AT35" s="17"/>
      <c r="AU35" s="17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8"/>
    </row>
    <row r="36" spans="2:58" x14ac:dyDescent="0.3">
      <c r="B36" s="47" t="s">
        <v>26</v>
      </c>
      <c r="C36" s="69"/>
      <c r="D36" s="53">
        <f>SUM(AE36:AH36,AJ36:AU36)</f>
        <v>192</v>
      </c>
      <c r="E36" s="49">
        <v>46097</v>
      </c>
      <c r="F36" s="49">
        <v>46134</v>
      </c>
      <c r="G36" s="15" t="s">
        <v>18</v>
      </c>
      <c r="H36" s="15">
        <f t="shared" si="0"/>
        <v>256</v>
      </c>
      <c r="I36" s="25"/>
      <c r="J36" s="26"/>
      <c r="K36" s="26"/>
      <c r="L36" s="26"/>
      <c r="M36" s="26" t="s">
        <v>19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40">
        <v>0</v>
      </c>
      <c r="AF36" s="40">
        <v>0</v>
      </c>
      <c r="AG36" s="40">
        <v>0</v>
      </c>
      <c r="AH36" s="40">
        <v>0</v>
      </c>
      <c r="AI36" s="26" t="s">
        <v>19</v>
      </c>
      <c r="AJ36" s="40">
        <v>16</v>
      </c>
      <c r="AK36" s="40">
        <v>16</v>
      </c>
      <c r="AL36" s="40">
        <v>16</v>
      </c>
      <c r="AM36" s="40">
        <v>16</v>
      </c>
      <c r="AN36" s="40">
        <v>16</v>
      </c>
      <c r="AO36" s="40">
        <v>16</v>
      </c>
      <c r="AP36" s="40">
        <v>16</v>
      </c>
      <c r="AQ36" s="40">
        <v>16</v>
      </c>
      <c r="AR36" s="40">
        <v>16</v>
      </c>
      <c r="AS36" s="40">
        <v>16</v>
      </c>
      <c r="AT36" s="40">
        <v>16</v>
      </c>
      <c r="AU36" s="40">
        <v>16</v>
      </c>
      <c r="AV36" s="26" t="s">
        <v>19</v>
      </c>
      <c r="AW36" s="26" t="s">
        <v>19</v>
      </c>
      <c r="AX36" s="26">
        <v>16</v>
      </c>
      <c r="AY36" s="26">
        <v>16</v>
      </c>
      <c r="AZ36" s="26">
        <v>32</v>
      </c>
      <c r="BA36" s="26"/>
      <c r="BB36" s="26"/>
      <c r="BC36" s="26"/>
      <c r="BD36" s="26"/>
      <c r="BE36" s="26"/>
      <c r="BF36" s="28" t="s">
        <v>19</v>
      </c>
    </row>
    <row r="37" spans="2:58" x14ac:dyDescent="0.3">
      <c r="B37" s="47"/>
      <c r="C37" s="69"/>
      <c r="D37" s="53"/>
      <c r="E37" s="49"/>
      <c r="F37" s="49"/>
      <c r="G37" s="15" t="s">
        <v>20</v>
      </c>
      <c r="H37" s="15">
        <f t="shared" si="0"/>
        <v>79.97999999999999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6"/>
      <c r="AJ37" s="17"/>
      <c r="AK37" s="17"/>
      <c r="AL37" s="16"/>
      <c r="AM37" s="17"/>
      <c r="AN37" s="17">
        <v>46.5</v>
      </c>
      <c r="AO37" s="17">
        <v>11.16</v>
      </c>
      <c r="AP37" s="17">
        <v>22.32</v>
      </c>
      <c r="AQ37" s="17"/>
      <c r="AR37" s="17"/>
      <c r="AS37" s="17"/>
      <c r="AT37" s="17"/>
      <c r="AU37" s="17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8"/>
    </row>
    <row r="38" spans="2:58" x14ac:dyDescent="0.3">
      <c r="B38" s="47" t="s">
        <v>27</v>
      </c>
      <c r="C38" s="69"/>
      <c r="D38" s="53">
        <f>SUM(AJ38:AU38)</f>
        <v>280</v>
      </c>
      <c r="E38" s="49">
        <v>46097</v>
      </c>
      <c r="F38" s="49">
        <v>46134</v>
      </c>
      <c r="G38" s="15" t="s">
        <v>18</v>
      </c>
      <c r="H38" s="15">
        <f t="shared" si="0"/>
        <v>400</v>
      </c>
      <c r="I38" s="25"/>
      <c r="J38" s="26"/>
      <c r="K38" s="26"/>
      <c r="L38" s="26"/>
      <c r="M38" s="26" t="s">
        <v>19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 t="s">
        <v>19</v>
      </c>
      <c r="AJ38" s="26"/>
      <c r="AK38" s="26"/>
      <c r="AL38" s="40">
        <v>0</v>
      </c>
      <c r="AM38" s="40">
        <v>0</v>
      </c>
      <c r="AN38" s="40">
        <v>0</v>
      </c>
      <c r="AO38" s="40">
        <v>0</v>
      </c>
      <c r="AP38" s="26"/>
      <c r="AQ38" s="40">
        <v>40</v>
      </c>
      <c r="AR38" s="40">
        <v>40</v>
      </c>
      <c r="AS38" s="40">
        <v>80</v>
      </c>
      <c r="AT38" s="40">
        <v>80</v>
      </c>
      <c r="AU38" s="40">
        <v>40</v>
      </c>
      <c r="AV38" s="26" t="s">
        <v>19</v>
      </c>
      <c r="AW38" s="26" t="s">
        <v>19</v>
      </c>
      <c r="AX38" s="26">
        <v>40</v>
      </c>
      <c r="AY38" s="26">
        <v>40</v>
      </c>
      <c r="AZ38" s="26">
        <v>40</v>
      </c>
      <c r="BA38" s="26"/>
      <c r="BB38" s="26"/>
      <c r="BC38" s="26"/>
      <c r="BD38" s="26"/>
      <c r="BE38" s="26"/>
      <c r="BF38" s="28" t="s">
        <v>19</v>
      </c>
    </row>
    <row r="39" spans="2:58" x14ac:dyDescent="0.3">
      <c r="B39" s="47"/>
      <c r="C39" s="69"/>
      <c r="D39" s="53"/>
      <c r="E39" s="49"/>
      <c r="F39" s="49"/>
      <c r="G39" s="15" t="s">
        <v>20</v>
      </c>
      <c r="H39" s="15">
        <f t="shared" si="0"/>
        <v>0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6"/>
      <c r="AJ39" s="17"/>
      <c r="AK39" s="17"/>
      <c r="AL39" s="16"/>
      <c r="AM39" s="17"/>
      <c r="AN39" s="17"/>
      <c r="AO39" s="17"/>
      <c r="AP39" s="17"/>
      <c r="AQ39" s="17"/>
      <c r="AR39" s="17"/>
      <c r="AS39" s="17"/>
      <c r="AT39" s="17"/>
      <c r="AU39" s="17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8"/>
    </row>
    <row r="40" spans="2:58" x14ac:dyDescent="0.3">
      <c r="B40" s="47" t="s">
        <v>28</v>
      </c>
      <c r="C40" s="69"/>
      <c r="D40" s="53">
        <f>SUM(AU40:AZ40)</f>
        <v>250</v>
      </c>
      <c r="E40" s="49">
        <v>46097</v>
      </c>
      <c r="F40" s="49">
        <v>46134</v>
      </c>
      <c r="G40" s="15" t="s">
        <v>18</v>
      </c>
      <c r="H40" s="15">
        <f t="shared" si="0"/>
        <v>476</v>
      </c>
      <c r="I40" s="25"/>
      <c r="J40" s="26"/>
      <c r="K40" s="26"/>
      <c r="L40" s="26"/>
      <c r="M40" s="26" t="s">
        <v>19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 t="s">
        <v>19</v>
      </c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40">
        <v>0</v>
      </c>
      <c r="AV40" s="26" t="s">
        <v>19</v>
      </c>
      <c r="AW40" s="26" t="s">
        <v>19</v>
      </c>
      <c r="AX40" s="26"/>
      <c r="AY40" s="26"/>
      <c r="AZ40" s="40">
        <v>250</v>
      </c>
      <c r="BA40" s="26"/>
      <c r="BB40" s="26"/>
      <c r="BC40" s="26">
        <v>226</v>
      </c>
      <c r="BD40" s="26"/>
      <c r="BE40" s="26"/>
      <c r="BF40" s="28" t="s">
        <v>19</v>
      </c>
    </row>
    <row r="41" spans="2:58" ht="15" customHeight="1" x14ac:dyDescent="0.3">
      <c r="B41" s="50"/>
      <c r="C41" s="70"/>
      <c r="D41" s="54"/>
      <c r="E41" s="52"/>
      <c r="F41" s="52"/>
      <c r="G41" s="31" t="s">
        <v>20</v>
      </c>
      <c r="H41" s="31">
        <f t="shared" si="0"/>
        <v>0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2"/>
      <c r="AJ41" s="33"/>
      <c r="AK41" s="33"/>
      <c r="AL41" s="32"/>
      <c r="AM41" s="33"/>
      <c r="AN41" s="33"/>
      <c r="AO41" s="33"/>
      <c r="AP41" s="33"/>
      <c r="AQ41" s="33"/>
      <c r="AR41" s="33"/>
      <c r="AS41" s="33"/>
      <c r="AT41" s="33"/>
      <c r="AU41" s="33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4"/>
    </row>
    <row r="42" spans="2:58" x14ac:dyDescent="0.3">
      <c r="B42" s="55" t="s">
        <v>36</v>
      </c>
      <c r="C42" s="56">
        <v>3</v>
      </c>
      <c r="D42" s="59">
        <f>SUM(AJ42:AK42)</f>
        <v>0</v>
      </c>
      <c r="E42" s="60">
        <v>46097</v>
      </c>
      <c r="F42" s="60">
        <v>46134</v>
      </c>
      <c r="G42" s="35" t="s">
        <v>18</v>
      </c>
      <c r="H42" s="35">
        <f t="shared" si="0"/>
        <v>0</v>
      </c>
      <c r="I42" s="36"/>
      <c r="J42" s="37"/>
      <c r="K42" s="37"/>
      <c r="L42" s="37"/>
      <c r="M42" s="37" t="s">
        <v>19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 t="s">
        <v>19</v>
      </c>
      <c r="AJ42" s="43">
        <v>0</v>
      </c>
      <c r="AK42" s="43">
        <v>0</v>
      </c>
      <c r="AL42" s="44"/>
      <c r="AM42" s="37"/>
      <c r="AN42" s="37"/>
      <c r="AO42" s="37"/>
      <c r="AP42" s="37"/>
      <c r="AQ42" s="37"/>
      <c r="AR42" s="37"/>
      <c r="AS42" s="37"/>
      <c r="AT42" s="37"/>
      <c r="AU42" s="37"/>
      <c r="AV42" s="37" t="s">
        <v>19</v>
      </c>
      <c r="AW42" s="37" t="s">
        <v>19</v>
      </c>
      <c r="AX42" s="44"/>
      <c r="AY42" s="44"/>
      <c r="AZ42" s="37"/>
      <c r="BA42" s="37"/>
      <c r="BB42" s="37"/>
      <c r="BC42" s="37"/>
      <c r="BD42" s="37"/>
      <c r="BE42" s="37"/>
      <c r="BF42" s="39" t="s">
        <v>19</v>
      </c>
    </row>
    <row r="43" spans="2:58" ht="15" thickBot="1" x14ac:dyDescent="0.35">
      <c r="B43" s="47"/>
      <c r="C43" s="57"/>
      <c r="D43" s="48"/>
      <c r="E43" s="49"/>
      <c r="F43" s="49"/>
      <c r="G43" s="15" t="s">
        <v>20</v>
      </c>
      <c r="H43" s="15">
        <f t="shared" si="0"/>
        <v>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6"/>
      <c r="AJ43" s="17"/>
      <c r="AK43" s="17"/>
      <c r="AL43" s="16"/>
      <c r="AM43" s="17"/>
      <c r="AN43" s="17"/>
      <c r="AO43" s="17"/>
      <c r="AP43" s="17"/>
      <c r="AQ43" s="17"/>
      <c r="AR43" s="17"/>
      <c r="AS43" s="17"/>
      <c r="AT43" s="17"/>
      <c r="AU43" s="17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8"/>
    </row>
    <row r="44" spans="2:58" x14ac:dyDescent="0.3">
      <c r="B44" s="47" t="s">
        <v>34</v>
      </c>
      <c r="C44" s="57"/>
      <c r="D44" s="48">
        <f>SUM(AJ44:AK44)</f>
        <v>0</v>
      </c>
      <c r="E44" s="49">
        <v>46097</v>
      </c>
      <c r="F44" s="49">
        <v>46134</v>
      </c>
      <c r="G44" s="15" t="s">
        <v>18</v>
      </c>
      <c r="H44" s="15">
        <f t="shared" si="0"/>
        <v>63</v>
      </c>
      <c r="I44" s="25"/>
      <c r="J44" s="26"/>
      <c r="K44" s="26"/>
      <c r="L44" s="26"/>
      <c r="M44" s="26" t="s">
        <v>19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 t="s">
        <v>19</v>
      </c>
      <c r="AJ44" s="45">
        <v>0</v>
      </c>
      <c r="AK44" s="45">
        <v>0</v>
      </c>
      <c r="AL44" s="41"/>
      <c r="AM44" s="26"/>
      <c r="AN44" s="26"/>
      <c r="AO44" s="26"/>
      <c r="AP44" s="26"/>
      <c r="AQ44" s="26"/>
      <c r="AR44" s="26"/>
      <c r="AS44" s="26"/>
      <c r="AT44" s="26">
        <v>24</v>
      </c>
      <c r="AU44" s="26">
        <f>(63-AT44)/2</f>
        <v>19.5</v>
      </c>
      <c r="AV44" s="26" t="s">
        <v>19</v>
      </c>
      <c r="AW44" s="37" t="s">
        <v>19</v>
      </c>
      <c r="AX44" s="26">
        <f>63-AT44-AU44</f>
        <v>19.5</v>
      </c>
      <c r="AY44" s="41"/>
      <c r="AZ44" s="26"/>
      <c r="BA44" s="26"/>
      <c r="BB44" s="26"/>
      <c r="BC44" s="26"/>
      <c r="BD44" s="26"/>
      <c r="BE44" s="26"/>
      <c r="BF44" s="28" t="s">
        <v>19</v>
      </c>
    </row>
    <row r="45" spans="2:58" x14ac:dyDescent="0.3">
      <c r="B45" s="47"/>
      <c r="C45" s="57"/>
      <c r="D45" s="48"/>
      <c r="E45" s="49"/>
      <c r="F45" s="49"/>
      <c r="G45" s="15" t="s">
        <v>20</v>
      </c>
      <c r="H45" s="15">
        <f t="shared" si="0"/>
        <v>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6"/>
      <c r="AJ45" s="17"/>
      <c r="AK45" s="17"/>
      <c r="AL45" s="16"/>
      <c r="AM45" s="17"/>
      <c r="AN45" s="17"/>
      <c r="AO45" s="17"/>
      <c r="AP45" s="17"/>
      <c r="AQ45" s="17"/>
      <c r="AR45" s="17"/>
      <c r="AS45" s="17"/>
      <c r="AT45" s="17"/>
      <c r="AU45" s="17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8"/>
    </row>
    <row r="46" spans="2:58" x14ac:dyDescent="0.3">
      <c r="B46" s="47" t="s">
        <v>33</v>
      </c>
      <c r="C46" s="57"/>
      <c r="D46" s="48">
        <f>SUM(AJ46:AL46)</f>
        <v>0</v>
      </c>
      <c r="E46" s="49">
        <v>46097</v>
      </c>
      <c r="F46" s="49">
        <v>46134</v>
      </c>
      <c r="G46" s="15" t="s">
        <v>18</v>
      </c>
      <c r="H46" s="15">
        <f t="shared" si="0"/>
        <v>0</v>
      </c>
      <c r="I46" s="25"/>
      <c r="J46" s="26"/>
      <c r="K46" s="26"/>
      <c r="L46" s="26"/>
      <c r="M46" s="26" t="s">
        <v>19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 t="s">
        <v>30</v>
      </c>
      <c r="AG46" s="26"/>
      <c r="AH46" s="26"/>
      <c r="AI46" s="26" t="s">
        <v>19</v>
      </c>
      <c r="AJ46" s="45">
        <v>0</v>
      </c>
      <c r="AK46" s="45">
        <v>0</v>
      </c>
      <c r="AL46" s="45">
        <v>0</v>
      </c>
      <c r="AM46" s="26"/>
      <c r="AN46" s="26"/>
      <c r="AO46" s="26"/>
      <c r="AP46" s="26"/>
      <c r="AQ46" s="26"/>
      <c r="AR46" s="26"/>
      <c r="AS46" s="26"/>
      <c r="AT46" s="26"/>
      <c r="AU46" s="26"/>
      <c r="AV46" s="26" t="s">
        <v>19</v>
      </c>
      <c r="AW46" s="26" t="s">
        <v>19</v>
      </c>
      <c r="AX46" s="26"/>
      <c r="AY46" s="26"/>
      <c r="AZ46" s="26"/>
      <c r="BA46" s="26"/>
      <c r="BB46" s="26"/>
      <c r="BC46" s="26"/>
      <c r="BD46" s="26"/>
      <c r="BE46" s="26"/>
      <c r="BF46" s="28" t="s">
        <v>19</v>
      </c>
    </row>
    <row r="47" spans="2:58" x14ac:dyDescent="0.3">
      <c r="B47" s="47"/>
      <c r="C47" s="57"/>
      <c r="D47" s="48"/>
      <c r="E47" s="49"/>
      <c r="F47" s="49"/>
      <c r="G47" s="15" t="s">
        <v>20</v>
      </c>
      <c r="H47" s="15">
        <f t="shared" si="0"/>
        <v>0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6"/>
      <c r="AJ47" s="17"/>
      <c r="AK47" s="17"/>
      <c r="AL47" s="16"/>
      <c r="AM47" s="17"/>
      <c r="AN47" s="17"/>
      <c r="AO47" s="17"/>
      <c r="AP47" s="17"/>
      <c r="AQ47" s="17"/>
      <c r="AR47" s="17"/>
      <c r="AS47" s="17"/>
      <c r="AT47" s="17"/>
      <c r="AU47" s="17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8"/>
    </row>
    <row r="48" spans="2:58" x14ac:dyDescent="0.3">
      <c r="B48" s="47" t="s">
        <v>23</v>
      </c>
      <c r="C48" s="57"/>
      <c r="D48" s="48">
        <f>SUM(AK48:AL48,AM48)</f>
        <v>0</v>
      </c>
      <c r="E48" s="49">
        <v>46097</v>
      </c>
      <c r="F48" s="49">
        <v>46134</v>
      </c>
      <c r="G48" s="15" t="s">
        <v>18</v>
      </c>
      <c r="H48" s="15">
        <f t="shared" si="0"/>
        <v>0</v>
      </c>
      <c r="I48" s="25"/>
      <c r="J48" s="26"/>
      <c r="K48" s="26"/>
      <c r="L48" s="26"/>
      <c r="M48" s="26" t="s">
        <v>19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 t="s">
        <v>19</v>
      </c>
      <c r="AJ48" s="41"/>
      <c r="AK48" s="45">
        <v>0</v>
      </c>
      <c r="AL48" s="45">
        <v>0</v>
      </c>
      <c r="AM48" s="45">
        <v>0</v>
      </c>
      <c r="AN48" s="26"/>
      <c r="AO48" s="26"/>
      <c r="AP48" s="26"/>
      <c r="AQ48" s="26"/>
      <c r="AR48" s="26"/>
      <c r="AS48" s="26"/>
      <c r="AT48" s="26"/>
      <c r="AU48" s="26"/>
      <c r="AV48" s="26" t="s">
        <v>19</v>
      </c>
      <c r="AW48" s="26" t="s">
        <v>19</v>
      </c>
      <c r="AX48" s="26"/>
      <c r="AY48" s="26"/>
      <c r="AZ48" s="26"/>
      <c r="BA48" s="26"/>
      <c r="BB48" s="26"/>
      <c r="BC48" s="26"/>
      <c r="BD48" s="26"/>
      <c r="BE48" s="26"/>
      <c r="BF48" s="28" t="s">
        <v>19</v>
      </c>
    </row>
    <row r="49" spans="2:58" x14ac:dyDescent="0.3">
      <c r="B49" s="47"/>
      <c r="C49" s="57"/>
      <c r="D49" s="48"/>
      <c r="E49" s="49"/>
      <c r="F49" s="49"/>
      <c r="G49" s="15" t="s">
        <v>20</v>
      </c>
      <c r="H49" s="15">
        <f t="shared" si="0"/>
        <v>0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6"/>
      <c r="AJ49" s="17"/>
      <c r="AK49" s="17"/>
      <c r="AL49" s="16"/>
      <c r="AM49" s="17"/>
      <c r="AN49" s="17"/>
      <c r="AO49" s="17"/>
      <c r="AP49" s="17"/>
      <c r="AQ49" s="17"/>
      <c r="AR49" s="17"/>
      <c r="AS49" s="17"/>
      <c r="AT49" s="17"/>
      <c r="AU49" s="17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8"/>
    </row>
    <row r="50" spans="2:58" x14ac:dyDescent="0.3">
      <c r="B50" s="61" t="s">
        <v>24</v>
      </c>
      <c r="C50" s="57"/>
      <c r="D50" s="62">
        <f>SUM(AL50:AO50)</f>
        <v>0</v>
      </c>
      <c r="E50" s="49">
        <v>46097</v>
      </c>
      <c r="F50" s="49">
        <v>46134</v>
      </c>
      <c r="G50" s="15" t="s">
        <v>18</v>
      </c>
      <c r="H50" s="15">
        <f t="shared" si="0"/>
        <v>63</v>
      </c>
      <c r="I50" s="25"/>
      <c r="J50" s="26"/>
      <c r="K50" s="26"/>
      <c r="L50" s="26"/>
      <c r="M50" s="26" t="s">
        <v>19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 t="s">
        <v>19</v>
      </c>
      <c r="AJ50" s="26"/>
      <c r="AK50" s="26"/>
      <c r="AL50" s="46">
        <v>0</v>
      </c>
      <c r="AM50" s="46">
        <v>0</v>
      </c>
      <c r="AN50" s="46">
        <v>0</v>
      </c>
      <c r="AO50" s="46">
        <v>0</v>
      </c>
      <c r="AP50" s="26"/>
      <c r="AQ50" s="26"/>
      <c r="AR50" s="26"/>
      <c r="AS50" s="26"/>
      <c r="AT50" s="26">
        <v>30</v>
      </c>
      <c r="AU50" s="26">
        <v>33</v>
      </c>
      <c r="AV50" s="26" t="s">
        <v>19</v>
      </c>
      <c r="AW50" s="26" t="s">
        <v>19</v>
      </c>
      <c r="AX50" s="26"/>
      <c r="AY50" s="26"/>
      <c r="AZ50" s="26"/>
      <c r="BA50" s="26"/>
      <c r="BB50" s="26"/>
      <c r="BC50" s="26"/>
      <c r="BD50" s="26"/>
      <c r="BE50" s="26"/>
      <c r="BF50" s="28" t="s">
        <v>19</v>
      </c>
    </row>
    <row r="51" spans="2:58" x14ac:dyDescent="0.3">
      <c r="B51" s="61"/>
      <c r="C51" s="57"/>
      <c r="D51" s="62"/>
      <c r="E51" s="49"/>
      <c r="F51" s="49"/>
      <c r="G51" s="15" t="s">
        <v>20</v>
      </c>
      <c r="H51" s="15">
        <f t="shared" si="0"/>
        <v>0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6"/>
      <c r="AJ51" s="17"/>
      <c r="AK51" s="17"/>
      <c r="AL51" s="16"/>
      <c r="AM51" s="17"/>
      <c r="AN51" s="17"/>
      <c r="AO51" s="17"/>
      <c r="AP51" s="17"/>
      <c r="AQ51" s="17"/>
      <c r="AR51" s="17"/>
      <c r="AS51" s="17"/>
      <c r="AT51" s="17"/>
      <c r="AU51" s="17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8"/>
    </row>
    <row r="52" spans="2:58" x14ac:dyDescent="0.3">
      <c r="B52" s="47" t="s">
        <v>25</v>
      </c>
      <c r="C52" s="57"/>
      <c r="D52" s="48">
        <f>SUM(AO52)</f>
        <v>0</v>
      </c>
      <c r="E52" s="49">
        <v>46097</v>
      </c>
      <c r="F52" s="49">
        <v>46134</v>
      </c>
      <c r="G52" s="15" t="s">
        <v>18</v>
      </c>
      <c r="H52" s="15">
        <f t="shared" si="0"/>
        <v>1</v>
      </c>
      <c r="I52" s="25"/>
      <c r="J52" s="26"/>
      <c r="K52" s="26"/>
      <c r="L52" s="26"/>
      <c r="M52" s="26" t="s">
        <v>19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 t="s">
        <v>19</v>
      </c>
      <c r="AJ52" s="26"/>
      <c r="AK52" s="26"/>
      <c r="AL52" s="26"/>
      <c r="AM52" s="26"/>
      <c r="AN52" s="26"/>
      <c r="AO52" s="45">
        <v>0</v>
      </c>
      <c r="AP52" s="26"/>
      <c r="AQ52" s="26"/>
      <c r="AR52" s="26"/>
      <c r="AS52" s="26"/>
      <c r="AT52" s="26"/>
      <c r="AU52" s="26">
        <v>1</v>
      </c>
      <c r="AV52" s="26" t="s">
        <v>19</v>
      </c>
      <c r="AW52" s="26" t="s">
        <v>19</v>
      </c>
      <c r="AX52" s="26"/>
      <c r="AY52" s="26"/>
      <c r="AZ52" s="26"/>
      <c r="BA52" s="26"/>
      <c r="BB52" s="26"/>
      <c r="BC52" s="26"/>
      <c r="BD52" s="26"/>
      <c r="BE52" s="26"/>
      <c r="BF52" s="28" t="s">
        <v>19</v>
      </c>
    </row>
    <row r="53" spans="2:58" x14ac:dyDescent="0.3">
      <c r="B53" s="47"/>
      <c r="C53" s="57"/>
      <c r="D53" s="48"/>
      <c r="E53" s="49"/>
      <c r="F53" s="49"/>
      <c r="G53" s="15" t="s">
        <v>20</v>
      </c>
      <c r="H53" s="15">
        <f t="shared" si="0"/>
        <v>0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6"/>
      <c r="AJ53" s="17"/>
      <c r="AK53" s="17"/>
      <c r="AL53" s="16"/>
      <c r="AM53" s="17"/>
      <c r="AN53" s="17"/>
      <c r="AO53" s="17"/>
      <c r="AP53" s="17"/>
      <c r="AQ53" s="17"/>
      <c r="AR53" s="17"/>
      <c r="AS53" s="17"/>
      <c r="AT53" s="17"/>
      <c r="AU53" s="17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8"/>
    </row>
    <row r="54" spans="2:58" x14ac:dyDescent="0.3">
      <c r="B54" s="47" t="s">
        <v>32</v>
      </c>
      <c r="C54" s="57"/>
      <c r="D54" s="48">
        <f>SUM(AM54:AP54)</f>
        <v>0</v>
      </c>
      <c r="E54" s="49">
        <v>46097</v>
      </c>
      <c r="F54" s="49">
        <v>46134</v>
      </c>
      <c r="G54" s="15" t="s">
        <v>18</v>
      </c>
      <c r="H54" s="15">
        <f t="shared" si="0"/>
        <v>63</v>
      </c>
      <c r="I54" s="25"/>
      <c r="J54" s="26"/>
      <c r="K54" s="26"/>
      <c r="L54" s="26"/>
      <c r="M54" s="26" t="s">
        <v>19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 t="s">
        <v>19</v>
      </c>
      <c r="AJ54" s="26"/>
      <c r="AK54" s="26"/>
      <c r="AL54" s="26"/>
      <c r="AM54" s="45">
        <v>0</v>
      </c>
      <c r="AN54" s="45">
        <v>0</v>
      </c>
      <c r="AO54" s="45">
        <v>0</v>
      </c>
      <c r="AP54" s="26">
        <v>0</v>
      </c>
      <c r="AQ54" s="26">
        <v>0</v>
      </c>
      <c r="AR54" s="26">
        <v>0</v>
      </c>
      <c r="AS54" s="26"/>
      <c r="AT54" s="26">
        <v>18</v>
      </c>
      <c r="AU54" s="26">
        <f>(63-AT54)/2</f>
        <v>22.5</v>
      </c>
      <c r="AV54" s="26" t="s">
        <v>19</v>
      </c>
      <c r="AW54" s="26" t="s">
        <v>19</v>
      </c>
      <c r="AX54" s="26">
        <f>63-AT54-AU54</f>
        <v>22.5</v>
      </c>
      <c r="AY54" s="26"/>
      <c r="AZ54" s="26"/>
      <c r="BA54" s="26"/>
      <c r="BB54" s="26"/>
      <c r="BC54" s="26"/>
      <c r="BD54" s="26"/>
      <c r="BE54" s="26"/>
      <c r="BF54" s="28" t="s">
        <v>19</v>
      </c>
    </row>
    <row r="55" spans="2:58" x14ac:dyDescent="0.3">
      <c r="B55" s="47"/>
      <c r="C55" s="57"/>
      <c r="D55" s="48"/>
      <c r="E55" s="49"/>
      <c r="F55" s="49"/>
      <c r="G55" s="15" t="s">
        <v>20</v>
      </c>
      <c r="H55" s="15">
        <f t="shared" si="0"/>
        <v>0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6"/>
      <c r="AJ55" s="17"/>
      <c r="AK55" s="17"/>
      <c r="AL55" s="16"/>
      <c r="AM55" s="17"/>
      <c r="AN55" s="17"/>
      <c r="AO55" s="17"/>
      <c r="AP55" s="17"/>
      <c r="AQ55" s="17"/>
      <c r="AR55" s="17"/>
      <c r="AS55" s="17"/>
      <c r="AT55" s="17"/>
      <c r="AU55" s="17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8"/>
    </row>
    <row r="56" spans="2:58" x14ac:dyDescent="0.3">
      <c r="B56" s="47" t="s">
        <v>27</v>
      </c>
      <c r="C56" s="57"/>
      <c r="D56" s="48">
        <f>SUM(AO56:AQ56)</f>
        <v>0</v>
      </c>
      <c r="E56" s="49">
        <v>46097</v>
      </c>
      <c r="F56" s="49">
        <v>46134</v>
      </c>
      <c r="G56" s="15" t="s">
        <v>18</v>
      </c>
      <c r="H56" s="15">
        <f t="shared" si="0"/>
        <v>0</v>
      </c>
      <c r="I56" s="25"/>
      <c r="J56" s="26"/>
      <c r="K56" s="26"/>
      <c r="L56" s="26"/>
      <c r="M56" s="26" t="s">
        <v>19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 t="s">
        <v>19</v>
      </c>
      <c r="AJ56" s="26"/>
      <c r="AK56" s="26"/>
      <c r="AL56" s="26"/>
      <c r="AM56" s="26"/>
      <c r="AN56" s="26"/>
      <c r="AO56" s="45"/>
      <c r="AP56" s="45"/>
      <c r="AQ56" s="45"/>
      <c r="AR56" s="26"/>
      <c r="AS56" s="26"/>
      <c r="AT56" s="26"/>
      <c r="AU56" s="26"/>
      <c r="AV56" s="26" t="s">
        <v>19</v>
      </c>
      <c r="AW56" s="26" t="s">
        <v>19</v>
      </c>
      <c r="AX56" s="26"/>
      <c r="AY56" s="26"/>
      <c r="AZ56" s="26"/>
      <c r="BA56" s="26"/>
      <c r="BB56" s="26"/>
      <c r="BC56" s="26"/>
      <c r="BD56" s="26"/>
      <c r="BE56" s="26"/>
      <c r="BF56" s="28" t="s">
        <v>19</v>
      </c>
    </row>
    <row r="57" spans="2:58" x14ac:dyDescent="0.3">
      <c r="B57" s="47"/>
      <c r="C57" s="57"/>
      <c r="D57" s="48"/>
      <c r="E57" s="49"/>
      <c r="F57" s="49"/>
      <c r="G57" s="15" t="s">
        <v>20</v>
      </c>
      <c r="H57" s="15">
        <f t="shared" si="0"/>
        <v>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6"/>
      <c r="AJ57" s="17"/>
      <c r="AK57" s="17"/>
      <c r="AL57" s="16"/>
      <c r="AM57" s="17"/>
      <c r="AN57" s="17"/>
      <c r="AO57" s="17"/>
      <c r="AP57" s="17"/>
      <c r="AQ57" s="17"/>
      <c r="AR57" s="17"/>
      <c r="AS57" s="17"/>
      <c r="AT57" s="17"/>
      <c r="AU57" s="17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8"/>
    </row>
    <row r="58" spans="2:58" x14ac:dyDescent="0.3">
      <c r="B58" s="47" t="s">
        <v>35</v>
      </c>
      <c r="C58" s="57"/>
      <c r="D58" s="48">
        <f>SUM(AU58)</f>
        <v>0</v>
      </c>
      <c r="E58" s="49">
        <v>46097</v>
      </c>
      <c r="F58" s="49">
        <v>46134</v>
      </c>
      <c r="G58" s="15" t="s">
        <v>18</v>
      </c>
      <c r="H58" s="15">
        <f t="shared" si="0"/>
        <v>63</v>
      </c>
      <c r="I58" s="25"/>
      <c r="J58" s="26"/>
      <c r="K58" s="26"/>
      <c r="L58" s="26"/>
      <c r="M58" s="26" t="s">
        <v>19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 t="s">
        <v>19</v>
      </c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45">
        <v>0</v>
      </c>
      <c r="AV58" s="26" t="s">
        <v>19</v>
      </c>
      <c r="AW58" s="26" t="s">
        <v>19</v>
      </c>
      <c r="AX58" s="26"/>
      <c r="AY58" s="26">
        <v>63</v>
      </c>
      <c r="AZ58" s="26"/>
      <c r="BA58" s="26"/>
      <c r="BB58" s="26"/>
      <c r="BC58" s="26"/>
      <c r="BD58" s="26"/>
      <c r="BE58" s="26"/>
      <c r="BF58" s="28" t="s">
        <v>19</v>
      </c>
    </row>
    <row r="59" spans="2:58" ht="15" customHeight="1" x14ac:dyDescent="0.3">
      <c r="B59" s="50"/>
      <c r="C59" s="58"/>
      <c r="D59" s="51"/>
      <c r="E59" s="52"/>
      <c r="F59" s="52"/>
      <c r="G59" s="31" t="s">
        <v>20</v>
      </c>
      <c r="H59" s="31">
        <f t="shared" si="0"/>
        <v>0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2"/>
      <c r="AJ59" s="33"/>
      <c r="AK59" s="33"/>
      <c r="AL59" s="32"/>
      <c r="AM59" s="33"/>
      <c r="AN59" s="33"/>
      <c r="AO59" s="33"/>
      <c r="AP59" s="33"/>
      <c r="AQ59" s="33"/>
      <c r="AR59" s="33"/>
      <c r="AS59" s="33"/>
      <c r="AT59" s="33"/>
      <c r="AU59" s="33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4"/>
    </row>
    <row r="61" spans="2:58" ht="14.4" customHeight="1" x14ac:dyDescent="0.3">
      <c r="AM61" t="s">
        <v>31</v>
      </c>
    </row>
  </sheetData>
  <mergeCells count="131">
    <mergeCell ref="I2:M2"/>
    <mergeCell ref="N2:R2"/>
    <mergeCell ref="S2:X2"/>
    <mergeCell ref="Y2:AD2"/>
    <mergeCell ref="AE2:AI2"/>
    <mergeCell ref="AJ2:AO2"/>
    <mergeCell ref="AP2:AU2"/>
    <mergeCell ref="AV2:BA2"/>
    <mergeCell ref="BB2:BF2"/>
    <mergeCell ref="B2:B3"/>
    <mergeCell ref="C2:C3"/>
    <mergeCell ref="D2:D3"/>
    <mergeCell ref="E2:E3"/>
    <mergeCell ref="F2:F3"/>
    <mergeCell ref="G2:G3"/>
    <mergeCell ref="H2:H3"/>
    <mergeCell ref="B4:B5"/>
    <mergeCell ref="C4:C21"/>
    <mergeCell ref="D4:D5"/>
    <mergeCell ref="E4:E5"/>
    <mergeCell ref="F4:F5"/>
    <mergeCell ref="B6:B7"/>
    <mergeCell ref="D6:D7"/>
    <mergeCell ref="E6:E7"/>
    <mergeCell ref="F6:F7"/>
    <mergeCell ref="B8:B9"/>
    <mergeCell ref="D8:D9"/>
    <mergeCell ref="E8:E9"/>
    <mergeCell ref="F8:F9"/>
    <mergeCell ref="B10:B11"/>
    <mergeCell ref="D10:D11"/>
    <mergeCell ref="E10:E11"/>
    <mergeCell ref="F10:F11"/>
    <mergeCell ref="B12:B13"/>
    <mergeCell ref="D12:D13"/>
    <mergeCell ref="E12:E13"/>
    <mergeCell ref="F12:F13"/>
    <mergeCell ref="B14:B15"/>
    <mergeCell ref="D14:D15"/>
    <mergeCell ref="E14:E15"/>
    <mergeCell ref="F14:F15"/>
    <mergeCell ref="B16:B17"/>
    <mergeCell ref="D16:D17"/>
    <mergeCell ref="E16:E17"/>
    <mergeCell ref="F16:F17"/>
    <mergeCell ref="B18:B19"/>
    <mergeCell ref="D18:D19"/>
    <mergeCell ref="E18:E19"/>
    <mergeCell ref="F18:F19"/>
    <mergeCell ref="B20:B21"/>
    <mergeCell ref="D20:D21"/>
    <mergeCell ref="E20:E21"/>
    <mergeCell ref="F20:F21"/>
    <mergeCell ref="B22:B23"/>
    <mergeCell ref="C22:C41"/>
    <mergeCell ref="D22:D23"/>
    <mergeCell ref="E22:E23"/>
    <mergeCell ref="F22:F23"/>
    <mergeCell ref="B24:B25"/>
    <mergeCell ref="D24:D25"/>
    <mergeCell ref="E24:E25"/>
    <mergeCell ref="F24:F25"/>
    <mergeCell ref="B26:B27"/>
    <mergeCell ref="D26:D27"/>
    <mergeCell ref="E26:E27"/>
    <mergeCell ref="F26:F27"/>
    <mergeCell ref="B28:B29"/>
    <mergeCell ref="D28:D29"/>
    <mergeCell ref="E28:E29"/>
    <mergeCell ref="F28:F29"/>
    <mergeCell ref="B30:B31"/>
    <mergeCell ref="D30:D31"/>
    <mergeCell ref="E30:E31"/>
    <mergeCell ref="F30:F31"/>
    <mergeCell ref="B32:B33"/>
    <mergeCell ref="D32:D33"/>
    <mergeCell ref="E32:E33"/>
    <mergeCell ref="F32:F33"/>
    <mergeCell ref="B34:B35"/>
    <mergeCell ref="D34:D35"/>
    <mergeCell ref="E34:E35"/>
    <mergeCell ref="F34:F35"/>
    <mergeCell ref="B36:B37"/>
    <mergeCell ref="D36:D37"/>
    <mergeCell ref="E36:E37"/>
    <mergeCell ref="F36:F37"/>
    <mergeCell ref="B38:B39"/>
    <mergeCell ref="D38:D39"/>
    <mergeCell ref="E38:E39"/>
    <mergeCell ref="F38:F39"/>
    <mergeCell ref="B40:B41"/>
    <mergeCell ref="D40:D41"/>
    <mergeCell ref="E40:E41"/>
    <mergeCell ref="F40:F41"/>
    <mergeCell ref="B42:B43"/>
    <mergeCell ref="C42:C59"/>
    <mergeCell ref="D42:D43"/>
    <mergeCell ref="E42:E43"/>
    <mergeCell ref="F42:F43"/>
    <mergeCell ref="B44:B45"/>
    <mergeCell ref="D44:D45"/>
    <mergeCell ref="E44:E45"/>
    <mergeCell ref="F44:F45"/>
    <mergeCell ref="B46:B47"/>
    <mergeCell ref="D46:D47"/>
    <mergeCell ref="E46:E47"/>
    <mergeCell ref="F46:F47"/>
    <mergeCell ref="B48:B49"/>
    <mergeCell ref="D48:D49"/>
    <mergeCell ref="E48:E49"/>
    <mergeCell ref="F48:F49"/>
    <mergeCell ref="B50:B51"/>
    <mergeCell ref="D50:D51"/>
    <mergeCell ref="E50:E51"/>
    <mergeCell ref="B56:B57"/>
    <mergeCell ref="D56:D57"/>
    <mergeCell ref="E56:E57"/>
    <mergeCell ref="F56:F57"/>
    <mergeCell ref="B58:B59"/>
    <mergeCell ref="D58:D59"/>
    <mergeCell ref="E58:E59"/>
    <mergeCell ref="F58:F59"/>
    <mergeCell ref="F50:F51"/>
    <mergeCell ref="B52:B53"/>
    <mergeCell ref="D52:D53"/>
    <mergeCell ref="E52:E53"/>
    <mergeCell ref="F52:F53"/>
    <mergeCell ref="B54:B55"/>
    <mergeCell ref="D54:D55"/>
    <mergeCell ref="E54:E55"/>
    <mergeCell ref="F54:F5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2026-02-27T14:51:14Z</dcterms:created>
  <dcterms:modified xsi:type="dcterms:W3CDTF">2026-04-17T13:08:08Z</dcterms:modified>
</cp:coreProperties>
</file>