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ana e Moura\Desktop\Antigravity\Controle_Emissario_CA\"/>
    </mc:Choice>
  </mc:AlternateContent>
  <xr:revisionPtr revIDLastSave="0" documentId="13_ncr:1_{3F24A710-DE81-48A3-83D4-001A6B2E385A}" xr6:coauthVersionLast="47" xr6:coauthVersionMax="47" xr10:uidLastSave="{00000000-0000-0000-0000-000000000000}"/>
  <bookViews>
    <workbookView xWindow="-28920" yWindow="-120" windowWidth="29040" windowHeight="15720" xr2:uid="{EEA59E8E-9647-43AC-97C3-E8656E227CAD}"/>
  </bookViews>
  <sheets>
    <sheet name="Plan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3" l="1"/>
  <c r="C40" i="3"/>
  <c r="C38" i="3"/>
  <c r="C56" i="3"/>
  <c r="C54" i="3"/>
  <c r="C50" i="3"/>
  <c r="C36" i="3"/>
  <c r="C28" i="3"/>
  <c r="C30" i="3"/>
  <c r="C32" i="3"/>
  <c r="C16" i="3"/>
  <c r="C10" i="3"/>
  <c r="C12" i="3"/>
  <c r="C26" i="3"/>
  <c r="C24" i="3"/>
  <c r="C18" i="3"/>
  <c r="C34" i="3"/>
  <c r="C8" i="3"/>
  <c r="C6" i="3"/>
  <c r="C4" i="3"/>
  <c r="C58" i="3"/>
  <c r="C52" i="3"/>
  <c r="C48" i="3"/>
  <c r="C46" i="3"/>
  <c r="C44" i="3"/>
  <c r="C42" i="3"/>
  <c r="C20" i="3"/>
  <c r="C14" i="3"/>
</calcChain>
</file>

<file path=xl/sharedStrings.xml><?xml version="1.0" encoding="utf-8"?>
<sst xmlns="http://schemas.openxmlformats.org/spreadsheetml/2006/main" count="268" uniqueCount="31">
  <si>
    <t>Escavação (m³)</t>
  </si>
  <si>
    <t>Desmonte de Rocha (m³)</t>
  </si>
  <si>
    <t xml:space="preserve"> Assentamento de tubulação (m)</t>
  </si>
  <si>
    <t>Implantação de PV (und)</t>
  </si>
  <si>
    <t>Reaterro compactado (m³)</t>
  </si>
  <si>
    <t>Reposição de pavimento granitico (m²)</t>
  </si>
  <si>
    <t>Reposição de pavimento asfáltico (m²)</t>
  </si>
  <si>
    <t>ATIVIDADE</t>
  </si>
  <si>
    <t>INICIO</t>
  </si>
  <si>
    <t>TÉRMINO</t>
  </si>
  <si>
    <t>SEMANA 01</t>
  </si>
  <si>
    <t>SEMANA 02</t>
  </si>
  <si>
    <t>SEMANA 03</t>
  </si>
  <si>
    <t>SEMANA 04</t>
  </si>
  <si>
    <t>SEMANA 05</t>
  </si>
  <si>
    <t>SEMANA 06</t>
  </si>
  <si>
    <t>SEMANA 07</t>
  </si>
  <si>
    <t>SEMANA 08</t>
  </si>
  <si>
    <t>SEMANA 09</t>
  </si>
  <si>
    <t>FERIADO</t>
  </si>
  <si>
    <t>Remoção de pavimento granitico (m²)</t>
  </si>
  <si>
    <t>Remoção de pavimento asfáltico (m²)</t>
  </si>
  <si>
    <t>PREVISTO</t>
  </si>
  <si>
    <t>REALIZADO</t>
  </si>
  <si>
    <t>PLAN</t>
  </si>
  <si>
    <t>QUANTIDADE</t>
  </si>
  <si>
    <t>INTERDIÇÃO</t>
  </si>
  <si>
    <t>Sondagem (und)</t>
  </si>
  <si>
    <t xml:space="preserve">EQUIPE 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</si>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</sst>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6]d\-mmm;@"/>
    <numFmt numFmtId="165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65" fontId="0" fillId="0" borderId="0" xfId="0" applyNumberFormat="1"/>
    <xf numFmtId="2" fontId="2" fillId="4" borderId="1" xfId="0" applyNumberFormat="1" applyFont="1" applyFill="1" applyBorder="1" applyAlignment="1">
      <alignment horizontal="center" vertical="center"/>
    </xf>
    <xf numFmtId="2" fontId="0" fillId="4" borderId="1" xfId="0" applyNumberFormat="1" applyFill="1" applyBorder="1"/>
    <xf numFmtId="2" fontId="1" fillId="0" borderId="1" xfId="0" applyNumberFormat="1" applyFont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2" fontId="0" fillId="0" borderId="1" xfId="0" applyNumberFormat="1" applyBorder="1"/>
    <xf numFmtId="2" fontId="2" fillId="5" borderId="1" xfId="0" applyNumberFormat="1" applyFont="1" applyFill="1" applyBorder="1" applyAlignment="1">
      <alignment horizontal="center" vertical="center"/>
    </xf>
    <xf numFmtId="2" fontId="0" fillId="3" borderId="1" xfId="0" applyNumberFormat="1" applyFill="1" applyBorder="1"/>
    <xf numFmtId="2" fontId="2" fillId="0" borderId="1" xfId="0" applyNumberFormat="1" applyFont="1" applyBorder="1" applyAlignment="1">
      <alignment horizontal="center" vertical="center"/>
    </xf>
    <xf numFmtId="2" fontId="0" fillId="5" borderId="1" xfId="0" applyNumberFormat="1" applyFill="1" applyBorder="1"/>
    <xf numFmtId="0" fontId="0" fillId="0" borderId="4" xfId="0" applyBorder="1" applyAlignment="1">
      <alignment horizontal="center"/>
    </xf>
    <xf numFmtId="164" fontId="1" fillId="0" borderId="2" xfId="0" applyNumberFormat="1" applyFont="1" applyBorder="1" applyAlignment="1">
      <alignment horizontal="center" vertical="center"/>
    </xf>
    <xf numFmtId="0" fontId="0" fillId="0" borderId="1" xfId="0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2" fontId="0" fillId="5" borderId="2" xfId="0" applyNumberFormat="1" applyFill="1" applyBorder="1" applyAlignment="1">
      <alignment horizontal="center" vertical="center"/>
    </xf>
    <xf numFmtId="2" fontId="0" fillId="5" borderId="3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2" fontId="0" fillId="3" borderId="2" xfId="0" applyNumberFormat="1" applyFill="1" applyBorder="1" applyAlignment="1">
      <alignment horizontal="center" vertical="center"/>
    </xf>
    <xf numFmtId="2" fontId="0" fillId="3" borderId="3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FFE89-FF8E-4E1D-AC6B-9E2FFA7EFAAA}">
  <dimension ref="A2:BM59"/>
  <sheetViews>
    <sheetView showGridLines="0" tabSelected="1" zoomScale="85" zoomScaleNormal="85" workbookViewId="0">
      <pane xSplit="7" ySplit="3" topLeftCell="X10" activePane="bottomRight" state="frozen"/>
      <selection pane="topRight" activeCell="G1" sqref="G1"/>
      <selection pane="bottomLeft" activeCell="A4" sqref="A4"/>
      <selection pane="bottomRight" activeCell="Q37" sqref="Q37"/>
    </sheetView>
  </sheetViews>
  <sheetFormatPr defaultRowHeight="14.4" x14ac:dyDescent="0.3"/>
  <cols>
    <col min="1" max="1" width="34.21875" bestFit="1" customWidth="1"/>
    <col min="2" max="2" width="11.6640625" bestFit="1" customWidth="1"/>
    <col min="3" max="3" width="12.44140625" bestFit="1" customWidth="1"/>
    <col min="4" max="4" width="12.44140625" customWidth="1"/>
    <col min="5" max="6" width="10.33203125" bestFit="1" customWidth="1"/>
    <col min="7" max="7" width="10.109375" bestFit="1" customWidth="1"/>
    <col min="8" max="11" width="6.5546875" bestFit="1" customWidth="1"/>
    <col min="12" max="12" width="8.21875" bestFit="1" customWidth="1"/>
    <col min="13" max="13" width="6.5546875" bestFit="1" customWidth="1"/>
    <col min="14" max="22" width="7" bestFit="1" customWidth="1"/>
    <col min="23" max="23" width="7" customWidth="1"/>
    <col min="24" max="28" width="7" bestFit="1" customWidth="1"/>
    <col min="29" max="29" width="7" customWidth="1"/>
    <col min="30" max="31" width="7" bestFit="1" customWidth="1"/>
    <col min="32" max="32" width="6.6640625" bestFit="1" customWidth="1"/>
    <col min="33" max="33" width="5.5546875" bestFit="1" customWidth="1"/>
    <col min="34" max="34" width="8.21875" bestFit="1" customWidth="1"/>
    <col min="35" max="35" width="5.5546875" bestFit="1" customWidth="1"/>
    <col min="36" max="36" width="6.6640625" bestFit="1" customWidth="1"/>
    <col min="37" max="37" width="5.5546875" bestFit="1" customWidth="1"/>
    <col min="38" max="38" width="6.5546875" bestFit="1" customWidth="1"/>
    <col min="39" max="39" width="6.44140625" bestFit="1" customWidth="1"/>
    <col min="40" max="40" width="6.44140625" customWidth="1"/>
    <col min="41" max="45" width="6.44140625" bestFit="1" customWidth="1"/>
    <col min="46" max="46" width="6.44140625" customWidth="1"/>
    <col min="47" max="48" width="8.21875" bestFit="1" customWidth="1"/>
    <col min="49" max="49" width="6.5546875" bestFit="1" customWidth="1"/>
    <col min="50" max="56" width="6.44140625" bestFit="1" customWidth="1"/>
    <col min="57" max="57" width="8.21875" bestFit="1" customWidth="1"/>
  </cols>
  <sheetData>
    <row r="2" spans="1:65" x14ac:dyDescent="0.3">
      <c r="A2" s="30" t="s">
        <v>7</v>
      </c>
      <c r="B2" s="30" t="s">
        <v>26</v>
      </c>
      <c r="C2" s="31" t="s">
        <v>25</v>
      </c>
      <c r="D2" s="14"/>
      <c r="E2" s="30" t="s">
        <v>8</v>
      </c>
      <c r="F2" s="30" t="s">
        <v>9</v>
      </c>
      <c r="G2" s="30" t="s">
        <v>24</v>
      </c>
      <c r="H2" s="29" t="s">
        <v>10</v>
      </c>
      <c r="I2" s="29"/>
      <c r="J2" s="29"/>
      <c r="K2" s="29"/>
      <c r="L2" s="29"/>
      <c r="M2" s="29" t="s">
        <v>11</v>
      </c>
      <c r="N2" s="29"/>
      <c r="O2" s="29"/>
      <c r="P2" s="29"/>
      <c r="Q2" s="29"/>
      <c r="R2" s="26" t="s">
        <v>12</v>
      </c>
      <c r="S2" s="27"/>
      <c r="T2" s="27"/>
      <c r="U2" s="27"/>
      <c r="V2" s="27"/>
      <c r="W2" s="28"/>
      <c r="X2" s="26" t="s">
        <v>13</v>
      </c>
      <c r="Y2" s="27"/>
      <c r="Z2" s="27"/>
      <c r="AA2" s="27"/>
      <c r="AB2" s="27"/>
      <c r="AC2" s="28"/>
      <c r="AD2" s="29" t="s">
        <v>14</v>
      </c>
      <c r="AE2" s="29"/>
      <c r="AF2" s="29"/>
      <c r="AG2" s="29"/>
      <c r="AH2" s="29"/>
      <c r="AI2" s="26" t="s">
        <v>15</v>
      </c>
      <c r="AJ2" s="27"/>
      <c r="AK2" s="27"/>
      <c r="AL2" s="27"/>
      <c r="AM2" s="27"/>
      <c r="AN2" s="28"/>
      <c r="AO2" s="26" t="s">
        <v>16</v>
      </c>
      <c r="AP2" s="27"/>
      <c r="AQ2" s="27"/>
      <c r="AR2" s="27"/>
      <c r="AS2" s="27"/>
      <c r="AT2" s="28"/>
      <c r="AU2" s="26" t="s">
        <v>17</v>
      </c>
      <c r="AV2" s="27"/>
      <c r="AW2" s="27"/>
      <c r="AX2" s="27"/>
      <c r="AY2" s="27"/>
      <c r="AZ2" s="28"/>
      <c r="BA2" s="29" t="s">
        <v>18</v>
      </c>
      <c r="BB2" s="29"/>
      <c r="BC2" s="29"/>
      <c r="BD2" s="29"/>
      <c r="BE2" s="29"/>
    </row>
    <row r="3" spans="1:65" x14ac:dyDescent="0.3">
      <c r="A3" s="30"/>
      <c r="B3" s="30"/>
      <c r="C3" s="32"/>
      <c r="D3" s="15" t="s">
        <v>28</v>
      </c>
      <c r="E3" s="30"/>
      <c r="F3" s="30"/>
      <c r="G3" s="30"/>
      <c r="H3" s="12">
        <v>46083</v>
      </c>
      <c r="I3" s="12">
        <v>46084</v>
      </c>
      <c r="J3" s="12">
        <v>46085</v>
      </c>
      <c r="K3" s="12">
        <v>46086</v>
      </c>
      <c r="L3" s="12">
        <v>46087</v>
      </c>
      <c r="M3" s="12">
        <v>46090</v>
      </c>
      <c r="N3" s="12">
        <v>46091</v>
      </c>
      <c r="O3" s="12">
        <v>46092</v>
      </c>
      <c r="P3" s="12">
        <v>46093</v>
      </c>
      <c r="Q3" s="12">
        <v>46094</v>
      </c>
      <c r="R3" s="12">
        <v>46097</v>
      </c>
      <c r="S3" s="12">
        <v>46098</v>
      </c>
      <c r="T3" s="12">
        <v>46099</v>
      </c>
      <c r="U3" s="12">
        <v>46100</v>
      </c>
      <c r="V3" s="12">
        <v>46101</v>
      </c>
      <c r="W3" s="12">
        <v>46102</v>
      </c>
      <c r="X3" s="12">
        <v>46104</v>
      </c>
      <c r="Y3" s="12">
        <v>46105</v>
      </c>
      <c r="Z3" s="12">
        <v>46106</v>
      </c>
      <c r="AA3" s="12">
        <v>46107</v>
      </c>
      <c r="AB3" s="12">
        <v>46108</v>
      </c>
      <c r="AC3" s="12">
        <v>46109</v>
      </c>
      <c r="AD3" s="12">
        <v>46111</v>
      </c>
      <c r="AE3" s="12">
        <v>46112</v>
      </c>
      <c r="AF3" s="12">
        <v>46113</v>
      </c>
      <c r="AG3" s="12">
        <v>46114</v>
      </c>
      <c r="AH3" s="12">
        <v>46115</v>
      </c>
      <c r="AI3" s="12">
        <v>46118</v>
      </c>
      <c r="AJ3" s="12">
        <v>46119</v>
      </c>
      <c r="AK3" s="12">
        <v>46120</v>
      </c>
      <c r="AL3" s="12">
        <v>46121</v>
      </c>
      <c r="AM3" s="12">
        <v>46122</v>
      </c>
      <c r="AN3" s="12">
        <v>46123</v>
      </c>
      <c r="AO3" s="12">
        <v>46125</v>
      </c>
      <c r="AP3" s="12">
        <v>46126</v>
      </c>
      <c r="AQ3" s="12">
        <v>46127</v>
      </c>
      <c r="AR3" s="12">
        <v>46128</v>
      </c>
      <c r="AS3" s="12">
        <v>46129</v>
      </c>
      <c r="AT3" s="12">
        <v>46130</v>
      </c>
      <c r="AU3" s="12">
        <v>46132</v>
      </c>
      <c r="AV3" s="12">
        <v>46133</v>
      </c>
      <c r="AW3" s="12">
        <v>46134</v>
      </c>
      <c r="AX3" s="12">
        <v>46135</v>
      </c>
      <c r="AY3" s="12">
        <v>46136</v>
      </c>
      <c r="AZ3" s="12">
        <v>46137</v>
      </c>
      <c r="BA3" s="12">
        <v>46139</v>
      </c>
      <c r="BB3" s="12">
        <v>46140</v>
      </c>
      <c r="BC3" s="12">
        <v>46141</v>
      </c>
      <c r="BD3" s="12">
        <v>46142</v>
      </c>
      <c r="BE3" s="12">
        <v>46143</v>
      </c>
    </row>
    <row r="4" spans="1:65" x14ac:dyDescent="0.3">
      <c r="A4" s="16" t="s">
        <v>21</v>
      </c>
      <c r="B4" s="24">
        <v>1</v>
      </c>
      <c r="C4" s="25">
        <f>SUM(J4:AB4)</f>
        <v>800</v>
      </c>
      <c r="D4" s="25" t="s">
        <v>29</v>
      </c>
      <c r="E4" s="19">
        <v>46083</v>
      </c>
      <c r="F4" s="19">
        <v>46122</v>
      </c>
      <c r="G4" s="11" t="s">
        <v>22</v>
      </c>
      <c r="H4" s="9"/>
      <c r="I4" s="9"/>
      <c r="J4" s="2">
        <v>0</v>
      </c>
      <c r="K4" s="2">
        <v>112</v>
      </c>
      <c r="L4" s="6" t="s">
        <v>19</v>
      </c>
      <c r="M4" s="2">
        <v>68</v>
      </c>
      <c r="N4" s="2">
        <v>72</v>
      </c>
      <c r="O4" s="2">
        <v>0</v>
      </c>
      <c r="P4" s="2">
        <v>82</v>
      </c>
      <c r="Q4" s="2">
        <v>0</v>
      </c>
      <c r="R4" s="2">
        <v>0</v>
      </c>
      <c r="S4" s="2">
        <v>107</v>
      </c>
      <c r="T4" s="2">
        <v>0</v>
      </c>
      <c r="U4" s="2">
        <v>0</v>
      </c>
      <c r="V4" s="2">
        <v>0</v>
      </c>
      <c r="W4" s="2">
        <v>34</v>
      </c>
      <c r="X4" s="2">
        <v>65</v>
      </c>
      <c r="Y4" s="2">
        <v>65</v>
      </c>
      <c r="Z4" s="2">
        <v>65</v>
      </c>
      <c r="AA4" s="2">
        <v>65</v>
      </c>
      <c r="AB4" s="2">
        <v>65</v>
      </c>
      <c r="AC4" s="13"/>
      <c r="AD4" s="13"/>
      <c r="AE4" s="13"/>
      <c r="AF4" s="13"/>
      <c r="AG4" s="13"/>
      <c r="AH4" s="6" t="s">
        <v>19</v>
      </c>
      <c r="AI4" s="13"/>
      <c r="AJ4" s="13"/>
      <c r="AK4" s="4"/>
      <c r="AL4" s="13"/>
      <c r="AM4" s="13"/>
      <c r="AN4" s="13"/>
      <c r="AO4" s="13"/>
      <c r="AP4" s="13"/>
      <c r="AQ4" s="13"/>
      <c r="AR4" s="13"/>
      <c r="AS4" s="13"/>
      <c r="AT4" s="13"/>
      <c r="AU4" s="6" t="s">
        <v>19</v>
      </c>
      <c r="AV4" s="6" t="s">
        <v>19</v>
      </c>
      <c r="AW4" s="4"/>
      <c r="AX4" s="4"/>
      <c r="AY4" s="4"/>
      <c r="AZ4" s="4"/>
      <c r="BA4" s="4"/>
      <c r="BB4" s="4"/>
      <c r="BC4" s="4"/>
      <c r="BD4" s="4"/>
      <c r="BE4" s="6" t="s">
        <v>19</v>
      </c>
      <c r="BF4" s="1"/>
      <c r="BG4" s="1"/>
      <c r="BH4" s="1"/>
      <c r="BI4" s="1"/>
      <c r="BJ4" s="1"/>
      <c r="BK4" s="1"/>
      <c r="BL4" s="1"/>
      <c r="BM4" s="1"/>
    </row>
    <row r="5" spans="1:65" x14ac:dyDescent="0.3">
      <c r="A5" s="16"/>
      <c r="B5" s="24"/>
      <c r="C5" s="25"/>
      <c r="D5" s="25"/>
      <c r="E5" s="20"/>
      <c r="F5" s="20"/>
      <c r="G5" s="11" t="s">
        <v>23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4"/>
      <c r="AI5" s="13"/>
      <c r="AJ5" s="13"/>
      <c r="AK5" s="4"/>
      <c r="AL5" s="13"/>
      <c r="AM5" s="13"/>
      <c r="AN5" s="13"/>
      <c r="AO5" s="13"/>
      <c r="AP5" s="13"/>
      <c r="AQ5" s="13"/>
      <c r="AR5" s="13"/>
      <c r="AS5" s="13"/>
      <c r="AT5" s="13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1"/>
      <c r="BG5" s="1"/>
      <c r="BH5" s="1"/>
      <c r="BI5" s="1"/>
      <c r="BJ5" s="1"/>
      <c r="BK5" s="1"/>
      <c r="BL5" s="1"/>
      <c r="BM5" s="1"/>
    </row>
    <row r="6" spans="1:65" x14ac:dyDescent="0.3">
      <c r="A6" s="16" t="s">
        <v>20</v>
      </c>
      <c r="B6" s="24">
        <v>1</v>
      </c>
      <c r="C6" s="25">
        <f>SUM(X6:AB6)</f>
        <v>325</v>
      </c>
      <c r="D6" s="25" t="s">
        <v>29</v>
      </c>
      <c r="E6" s="19">
        <v>46083</v>
      </c>
      <c r="F6" s="19">
        <v>46122</v>
      </c>
      <c r="G6" s="11" t="s">
        <v>22</v>
      </c>
      <c r="H6" s="9"/>
      <c r="I6" s="9"/>
      <c r="J6" s="2">
        <v>0</v>
      </c>
      <c r="K6" s="2">
        <v>0</v>
      </c>
      <c r="L6" s="6" t="s">
        <v>19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4"/>
      <c r="T6" s="4"/>
      <c r="U6" s="4"/>
      <c r="V6" s="4"/>
      <c r="W6" s="4"/>
      <c r="X6" s="2">
        <v>65</v>
      </c>
      <c r="Y6" s="2">
        <v>65</v>
      </c>
      <c r="Z6" s="2">
        <v>65</v>
      </c>
      <c r="AA6" s="2">
        <v>65</v>
      </c>
      <c r="AB6" s="2">
        <v>65</v>
      </c>
      <c r="AC6" s="13"/>
      <c r="AD6" s="13"/>
      <c r="AE6" s="13"/>
      <c r="AF6" s="13"/>
      <c r="AG6" s="13"/>
      <c r="AH6" s="6" t="s">
        <v>19</v>
      </c>
      <c r="AI6" s="13"/>
      <c r="AJ6" s="13"/>
      <c r="AK6" s="4"/>
      <c r="AL6" s="13"/>
      <c r="AM6" s="13"/>
      <c r="AN6" s="13"/>
      <c r="AO6" s="13"/>
      <c r="AP6" s="13"/>
      <c r="AQ6" s="13"/>
      <c r="AR6" s="13"/>
      <c r="AS6" s="13"/>
      <c r="AT6" s="13"/>
      <c r="AU6" s="6" t="s">
        <v>19</v>
      </c>
      <c r="AV6" s="6" t="s">
        <v>19</v>
      </c>
      <c r="AW6" s="4"/>
      <c r="AX6" s="4"/>
      <c r="AY6" s="4"/>
      <c r="AZ6" s="4"/>
      <c r="BA6" s="4"/>
      <c r="BB6" s="4"/>
      <c r="BC6" s="4"/>
      <c r="BD6" s="4"/>
      <c r="BE6" s="6" t="s">
        <v>19</v>
      </c>
      <c r="BF6" s="1"/>
      <c r="BG6" s="1"/>
      <c r="BH6" s="1"/>
      <c r="BI6" s="1"/>
      <c r="BJ6" s="1"/>
      <c r="BK6" s="1"/>
      <c r="BL6" s="1"/>
      <c r="BM6" s="1"/>
    </row>
    <row r="7" spans="1:65" x14ac:dyDescent="0.3">
      <c r="A7" s="16"/>
      <c r="B7" s="24"/>
      <c r="C7" s="25"/>
      <c r="D7" s="25"/>
      <c r="E7" s="20"/>
      <c r="F7" s="20"/>
      <c r="G7" s="11" t="s">
        <v>23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4"/>
      <c r="AI7" s="13"/>
      <c r="AJ7" s="13"/>
      <c r="AK7" s="4"/>
      <c r="AL7" s="13"/>
      <c r="AM7" s="13"/>
      <c r="AN7" s="13"/>
      <c r="AO7" s="13"/>
      <c r="AP7" s="13"/>
      <c r="AQ7" s="13"/>
      <c r="AR7" s="13"/>
      <c r="AS7" s="13"/>
      <c r="AT7" s="13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1"/>
      <c r="BG7" s="1"/>
      <c r="BH7" s="1"/>
      <c r="BI7" s="1"/>
      <c r="BJ7" s="1"/>
      <c r="BK7" s="1"/>
      <c r="BL7" s="1"/>
      <c r="BM7" s="1"/>
    </row>
    <row r="8" spans="1:65" x14ac:dyDescent="0.3">
      <c r="A8" s="16" t="s">
        <v>0</v>
      </c>
      <c r="B8" s="24">
        <v>1</v>
      </c>
      <c r="C8" s="25">
        <f>SUM(M8:AC8)</f>
        <v>422.00000000000011</v>
      </c>
      <c r="D8" s="25" t="s">
        <v>29</v>
      </c>
      <c r="E8" s="19">
        <v>46083</v>
      </c>
      <c r="F8" s="19">
        <v>46122</v>
      </c>
      <c r="G8" s="11" t="s">
        <v>22</v>
      </c>
      <c r="H8" s="13"/>
      <c r="I8" s="13"/>
      <c r="J8" s="13"/>
      <c r="K8" s="13"/>
      <c r="L8" s="6" t="s">
        <v>19</v>
      </c>
      <c r="M8" s="2">
        <v>48</v>
      </c>
      <c r="N8" s="2">
        <v>42</v>
      </c>
      <c r="O8" s="2">
        <v>25</v>
      </c>
      <c r="P8" s="2">
        <v>20</v>
      </c>
      <c r="Q8" s="2">
        <v>20</v>
      </c>
      <c r="R8" s="2">
        <v>34</v>
      </c>
      <c r="S8" s="2">
        <v>13</v>
      </c>
      <c r="T8" s="2">
        <v>28</v>
      </c>
      <c r="U8" s="2">
        <v>25</v>
      </c>
      <c r="V8" s="2">
        <v>15</v>
      </c>
      <c r="W8" s="2">
        <v>24</v>
      </c>
      <c r="X8" s="2">
        <v>0</v>
      </c>
      <c r="Y8" s="2">
        <v>25.6</v>
      </c>
      <c r="Z8" s="2">
        <v>25.6</v>
      </c>
      <c r="AA8" s="2">
        <v>25.6</v>
      </c>
      <c r="AB8" s="2">
        <v>25.6</v>
      </c>
      <c r="AC8" s="2">
        <v>25.6</v>
      </c>
      <c r="AD8" s="13"/>
      <c r="AE8" s="13"/>
      <c r="AF8" s="13"/>
      <c r="AG8" s="13"/>
      <c r="AH8" s="6" t="s">
        <v>19</v>
      </c>
      <c r="AI8" s="13"/>
      <c r="AJ8" s="13"/>
      <c r="AK8" s="6"/>
      <c r="AL8" s="13"/>
      <c r="AM8" s="13"/>
      <c r="AN8" s="13"/>
      <c r="AO8" s="13"/>
      <c r="AP8" s="13"/>
      <c r="AQ8" s="13"/>
      <c r="AR8" s="13"/>
      <c r="AS8" s="13"/>
      <c r="AT8" s="13"/>
      <c r="AU8" s="6" t="s">
        <v>19</v>
      </c>
      <c r="AV8" s="6" t="s">
        <v>19</v>
      </c>
      <c r="AW8" s="6"/>
      <c r="AX8" s="6"/>
      <c r="AY8" s="6"/>
      <c r="AZ8" s="6"/>
      <c r="BA8" s="6"/>
      <c r="BB8" s="6"/>
      <c r="BC8" s="6"/>
      <c r="BD8" s="6"/>
      <c r="BE8" s="6" t="s">
        <v>19</v>
      </c>
      <c r="BF8" s="1"/>
      <c r="BG8" s="1"/>
      <c r="BH8" s="1"/>
      <c r="BI8" s="1"/>
      <c r="BJ8" s="1"/>
      <c r="BK8" s="1"/>
      <c r="BL8" s="1"/>
      <c r="BM8" s="1"/>
    </row>
    <row r="9" spans="1:65" x14ac:dyDescent="0.3">
      <c r="A9" s="16"/>
      <c r="B9" s="24"/>
      <c r="C9" s="25"/>
      <c r="D9" s="25"/>
      <c r="E9" s="20"/>
      <c r="F9" s="20"/>
      <c r="G9" s="11" t="s">
        <v>23</v>
      </c>
      <c r="H9" s="13"/>
      <c r="I9" s="13"/>
      <c r="J9" s="13"/>
      <c r="K9" s="13"/>
      <c r="L9" s="4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13"/>
      <c r="AC9" s="13"/>
      <c r="AD9" s="13"/>
      <c r="AE9" s="13"/>
      <c r="AF9" s="13"/>
      <c r="AG9" s="13"/>
      <c r="AH9" s="4"/>
      <c r="AI9" s="13"/>
      <c r="AJ9" s="13"/>
      <c r="AK9" s="6"/>
      <c r="AL9" s="13"/>
      <c r="AM9" s="13"/>
      <c r="AN9" s="13"/>
      <c r="AO9" s="13"/>
      <c r="AP9" s="13"/>
      <c r="AQ9" s="13"/>
      <c r="AR9" s="13"/>
      <c r="AS9" s="13"/>
      <c r="AT9" s="13"/>
      <c r="AU9" s="4"/>
      <c r="AV9" s="4"/>
      <c r="AW9" s="6"/>
      <c r="AX9" s="6"/>
      <c r="AY9" s="6"/>
      <c r="AZ9" s="6"/>
      <c r="BA9" s="6"/>
      <c r="BB9" s="6"/>
      <c r="BC9" s="6"/>
      <c r="BD9" s="6"/>
      <c r="BE9" s="4"/>
      <c r="BF9" s="1"/>
      <c r="BG9" s="1"/>
      <c r="BH9" s="1"/>
      <c r="BI9" s="1"/>
      <c r="BJ9" s="1"/>
      <c r="BK9" s="1"/>
      <c r="BL9" s="1"/>
      <c r="BM9" s="1"/>
    </row>
    <row r="10" spans="1:65" x14ac:dyDescent="0.3">
      <c r="A10" s="16" t="s">
        <v>1</v>
      </c>
      <c r="B10" s="24">
        <v>1</v>
      </c>
      <c r="C10" s="25">
        <f>SUM(N10:AJ10)</f>
        <v>63.3</v>
      </c>
      <c r="D10" s="25" t="s">
        <v>29</v>
      </c>
      <c r="E10" s="19">
        <v>46084</v>
      </c>
      <c r="F10" s="19">
        <v>46125</v>
      </c>
      <c r="G10" s="11" t="s">
        <v>22</v>
      </c>
      <c r="H10" s="13"/>
      <c r="I10" s="13"/>
      <c r="J10" s="13"/>
      <c r="K10" s="13"/>
      <c r="L10" s="6" t="s">
        <v>19</v>
      </c>
      <c r="M10" s="6"/>
      <c r="N10" s="3">
        <v>4.8</v>
      </c>
      <c r="O10" s="3">
        <v>5</v>
      </c>
      <c r="P10" s="3">
        <v>5</v>
      </c>
      <c r="Q10" s="3">
        <v>5</v>
      </c>
      <c r="R10" s="3">
        <v>1</v>
      </c>
      <c r="S10" s="3">
        <v>1</v>
      </c>
      <c r="T10" s="3">
        <v>2</v>
      </c>
      <c r="U10" s="3">
        <v>0</v>
      </c>
      <c r="V10" s="3">
        <v>3</v>
      </c>
      <c r="W10" s="3">
        <v>5</v>
      </c>
      <c r="X10" s="3">
        <v>3</v>
      </c>
      <c r="Y10" s="3">
        <v>2</v>
      </c>
      <c r="Z10" s="3">
        <v>3</v>
      </c>
      <c r="AA10" s="3">
        <v>2</v>
      </c>
      <c r="AB10" s="3">
        <v>3</v>
      </c>
      <c r="AC10" s="3">
        <v>2</v>
      </c>
      <c r="AD10" s="3">
        <v>3</v>
      </c>
      <c r="AE10" s="3">
        <v>2</v>
      </c>
      <c r="AF10" s="3">
        <v>3</v>
      </c>
      <c r="AG10" s="3">
        <v>2</v>
      </c>
      <c r="AH10" s="6" t="s">
        <v>19</v>
      </c>
      <c r="AI10" s="3">
        <v>2</v>
      </c>
      <c r="AJ10" s="3">
        <v>4.5</v>
      </c>
      <c r="AK10" s="6"/>
      <c r="AL10" s="13"/>
      <c r="AM10" s="13"/>
      <c r="AN10" s="13"/>
      <c r="AO10" s="13"/>
      <c r="AP10" s="13"/>
      <c r="AQ10" s="13"/>
      <c r="AR10" s="13"/>
      <c r="AS10" s="13"/>
      <c r="AT10" s="13"/>
      <c r="AU10" s="6" t="s">
        <v>19</v>
      </c>
      <c r="AV10" s="6" t="s">
        <v>19</v>
      </c>
      <c r="AW10" s="6"/>
      <c r="AX10" s="6"/>
      <c r="AY10" s="6"/>
      <c r="AZ10" s="6"/>
      <c r="BA10" s="6"/>
      <c r="BB10" s="6"/>
      <c r="BC10" s="6"/>
      <c r="BD10" s="6"/>
      <c r="BE10" s="6" t="s">
        <v>19</v>
      </c>
      <c r="BF10" s="1"/>
      <c r="BG10" s="1"/>
      <c r="BH10" s="1"/>
      <c r="BI10" s="1"/>
      <c r="BJ10" s="1"/>
      <c r="BK10" s="1"/>
      <c r="BL10" s="1"/>
      <c r="BM10" s="1"/>
    </row>
    <row r="11" spans="1:65" x14ac:dyDescent="0.3">
      <c r="A11" s="16"/>
      <c r="B11" s="24"/>
      <c r="C11" s="25"/>
      <c r="D11" s="25"/>
      <c r="E11" s="20"/>
      <c r="F11" s="20"/>
      <c r="G11" s="11" t="s">
        <v>23</v>
      </c>
      <c r="H11" s="6"/>
      <c r="I11" s="6"/>
      <c r="J11" s="13"/>
      <c r="K11" s="13"/>
      <c r="L11" s="4"/>
      <c r="M11" s="13"/>
      <c r="N11" s="13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13"/>
      <c r="AC11" s="13"/>
      <c r="AD11" s="13"/>
      <c r="AE11" s="13"/>
      <c r="AF11" s="13"/>
      <c r="AG11" s="13"/>
      <c r="AH11" s="4"/>
      <c r="AI11" s="13"/>
      <c r="AJ11" s="13"/>
      <c r="AK11" s="6"/>
      <c r="AL11" s="13"/>
      <c r="AM11" s="13"/>
      <c r="AN11" s="13"/>
      <c r="AO11" s="13"/>
      <c r="AP11" s="13"/>
      <c r="AQ11" s="13"/>
      <c r="AR11" s="13"/>
      <c r="AS11" s="13"/>
      <c r="AT11" s="13"/>
      <c r="AU11" s="4"/>
      <c r="AV11" s="4"/>
      <c r="AW11" s="6"/>
      <c r="AX11" s="6"/>
      <c r="AY11" s="6"/>
      <c r="AZ11" s="6"/>
      <c r="BA11" s="6"/>
      <c r="BB11" s="6"/>
      <c r="BC11" s="6"/>
      <c r="BD11" s="6"/>
      <c r="BE11" s="4"/>
      <c r="BF11" s="1"/>
      <c r="BG11" s="1"/>
      <c r="BH11" s="1"/>
      <c r="BI11" s="1"/>
      <c r="BJ11" s="1"/>
      <c r="BK11" s="1"/>
      <c r="BL11" s="1"/>
      <c r="BM11" s="1"/>
    </row>
    <row r="12" spans="1:65" x14ac:dyDescent="0.3">
      <c r="A12" s="16" t="s">
        <v>2</v>
      </c>
      <c r="B12" s="24">
        <v>1</v>
      </c>
      <c r="C12" s="25">
        <f>SUM(M12:AL12)</f>
        <v>400</v>
      </c>
      <c r="D12" s="25" t="s">
        <v>29</v>
      </c>
      <c r="E12" s="19">
        <v>46085</v>
      </c>
      <c r="F12" s="19">
        <v>46126</v>
      </c>
      <c r="G12" s="11" t="s">
        <v>22</v>
      </c>
      <c r="H12" s="6"/>
      <c r="I12" s="6"/>
      <c r="J12" s="13"/>
      <c r="K12" s="13"/>
      <c r="L12" s="6" t="s">
        <v>19</v>
      </c>
      <c r="M12" s="3">
        <v>30</v>
      </c>
      <c r="N12" s="3">
        <v>6</v>
      </c>
      <c r="O12" s="3">
        <v>30</v>
      </c>
      <c r="P12" s="3">
        <v>12</v>
      </c>
      <c r="Q12" s="3">
        <v>6</v>
      </c>
      <c r="R12" s="3">
        <v>6</v>
      </c>
      <c r="S12" s="3">
        <v>24</v>
      </c>
      <c r="T12" s="3">
        <v>12</v>
      </c>
      <c r="U12" s="3">
        <v>0</v>
      </c>
      <c r="V12" s="3">
        <v>42</v>
      </c>
      <c r="W12" s="3">
        <v>12</v>
      </c>
      <c r="X12" s="3">
        <v>16</v>
      </c>
      <c r="Y12" s="3">
        <v>16</v>
      </c>
      <c r="Z12" s="3">
        <v>16</v>
      </c>
      <c r="AA12" s="3">
        <v>16</v>
      </c>
      <c r="AB12" s="3">
        <v>16</v>
      </c>
      <c r="AC12" s="3">
        <v>16</v>
      </c>
      <c r="AD12" s="3">
        <v>16</v>
      </c>
      <c r="AE12" s="3">
        <v>16</v>
      </c>
      <c r="AF12" s="3">
        <v>16</v>
      </c>
      <c r="AG12" s="3">
        <v>16</v>
      </c>
      <c r="AH12" s="6" t="s">
        <v>19</v>
      </c>
      <c r="AI12" s="3">
        <v>16</v>
      </c>
      <c r="AJ12" s="3">
        <v>16</v>
      </c>
      <c r="AK12" s="3">
        <v>16</v>
      </c>
      <c r="AL12" s="3">
        <v>12</v>
      </c>
      <c r="AM12" s="13"/>
      <c r="AN12" s="13"/>
      <c r="AO12" s="13"/>
      <c r="AP12" s="13"/>
      <c r="AQ12" s="13"/>
      <c r="AR12" s="13"/>
      <c r="AS12" s="13"/>
      <c r="AT12" s="13"/>
      <c r="AU12" s="6" t="s">
        <v>19</v>
      </c>
      <c r="AV12" s="6" t="s">
        <v>19</v>
      </c>
      <c r="AW12" s="6"/>
      <c r="AX12" s="6"/>
      <c r="AY12" s="6"/>
      <c r="AZ12" s="6"/>
      <c r="BA12" s="6"/>
      <c r="BB12" s="6"/>
      <c r="BC12" s="6"/>
      <c r="BD12" s="6"/>
      <c r="BE12" s="6" t="s">
        <v>19</v>
      </c>
      <c r="BF12" s="1"/>
      <c r="BG12" s="1"/>
      <c r="BH12" s="1"/>
      <c r="BI12" s="1"/>
      <c r="BJ12" s="1"/>
      <c r="BK12" s="1"/>
      <c r="BL12" s="1"/>
      <c r="BM12" s="1"/>
    </row>
    <row r="13" spans="1:65" x14ac:dyDescent="0.3">
      <c r="A13" s="16"/>
      <c r="B13" s="24"/>
      <c r="C13" s="25"/>
      <c r="D13" s="25"/>
      <c r="E13" s="20"/>
      <c r="F13" s="20"/>
      <c r="G13" s="11" t="s">
        <v>23</v>
      </c>
      <c r="H13" s="6"/>
      <c r="I13" s="6"/>
      <c r="J13" s="13"/>
      <c r="K13" s="13"/>
      <c r="L13" s="4"/>
      <c r="M13" s="13"/>
      <c r="N13" s="13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13"/>
      <c r="AC13" s="13"/>
      <c r="AD13" s="13"/>
      <c r="AE13" s="13"/>
      <c r="AF13" s="13"/>
      <c r="AG13" s="13"/>
      <c r="AH13" s="4"/>
      <c r="AI13" s="13"/>
      <c r="AJ13" s="13"/>
      <c r="AK13" s="6"/>
      <c r="AL13" s="13"/>
      <c r="AM13" s="13"/>
      <c r="AN13" s="13"/>
      <c r="AO13" s="13"/>
      <c r="AP13" s="13"/>
      <c r="AQ13" s="13"/>
      <c r="AR13" s="13"/>
      <c r="AS13" s="13"/>
      <c r="AT13" s="13"/>
      <c r="AU13" s="4"/>
      <c r="AV13" s="4"/>
      <c r="AW13" s="6"/>
      <c r="AX13" s="6"/>
      <c r="AY13" s="6"/>
      <c r="AZ13" s="6"/>
      <c r="BA13" s="6"/>
      <c r="BB13" s="6"/>
      <c r="BC13" s="6"/>
      <c r="BD13" s="6"/>
      <c r="BE13" s="4"/>
      <c r="BF13" s="1"/>
      <c r="BG13" s="1"/>
      <c r="BH13" s="1"/>
      <c r="BI13" s="1"/>
      <c r="BJ13" s="1"/>
      <c r="BK13" s="1"/>
      <c r="BL13" s="1"/>
      <c r="BM13" s="1"/>
    </row>
    <row r="14" spans="1:65" x14ac:dyDescent="0.3">
      <c r="A14" s="16" t="s">
        <v>3</v>
      </c>
      <c r="B14" s="24">
        <v>1</v>
      </c>
      <c r="C14" s="25">
        <f>SUM(Q14:AL14)</f>
        <v>5</v>
      </c>
      <c r="D14" s="25" t="s">
        <v>29</v>
      </c>
      <c r="E14" s="19">
        <v>46090</v>
      </c>
      <c r="F14" s="19">
        <v>46126</v>
      </c>
      <c r="G14" s="11" t="s">
        <v>22</v>
      </c>
      <c r="H14" s="6"/>
      <c r="I14" s="6"/>
      <c r="J14" s="13"/>
      <c r="K14" s="13"/>
      <c r="L14" s="6" t="s">
        <v>19</v>
      </c>
      <c r="M14" s="13"/>
      <c r="N14" s="13"/>
      <c r="O14" s="6"/>
      <c r="P14" s="6"/>
      <c r="Q14" s="3">
        <v>1</v>
      </c>
      <c r="R14" s="3"/>
      <c r="S14" s="3"/>
      <c r="T14" s="3"/>
      <c r="U14" s="3">
        <v>1</v>
      </c>
      <c r="V14" s="3"/>
      <c r="W14" s="3"/>
      <c r="X14" s="3"/>
      <c r="Y14" s="3">
        <v>1</v>
      </c>
      <c r="Z14" s="3"/>
      <c r="AA14" s="3"/>
      <c r="AB14" s="3"/>
      <c r="AC14" s="3"/>
      <c r="AD14" s="3"/>
      <c r="AE14" s="3"/>
      <c r="AF14" s="3">
        <v>1</v>
      </c>
      <c r="AG14" s="13"/>
      <c r="AH14" s="6" t="s">
        <v>19</v>
      </c>
      <c r="AI14" s="13"/>
      <c r="AJ14" s="13"/>
      <c r="AK14" s="6"/>
      <c r="AL14" s="3">
        <v>1</v>
      </c>
      <c r="AM14" s="13"/>
      <c r="AN14" s="13"/>
      <c r="AO14" s="13"/>
      <c r="AP14" s="13"/>
      <c r="AQ14" s="13"/>
      <c r="AR14" s="13"/>
      <c r="AS14" s="13"/>
      <c r="AT14" s="13"/>
      <c r="AU14" s="6" t="s">
        <v>19</v>
      </c>
      <c r="AV14" s="6" t="s">
        <v>19</v>
      </c>
      <c r="AW14" s="6"/>
      <c r="AX14" s="6"/>
      <c r="AY14" s="6"/>
      <c r="AZ14" s="6"/>
      <c r="BA14" s="6"/>
      <c r="BB14" s="6"/>
      <c r="BC14" s="6"/>
      <c r="BD14" s="6"/>
      <c r="BE14" s="6" t="s">
        <v>19</v>
      </c>
      <c r="BF14" s="1"/>
      <c r="BG14" s="1"/>
      <c r="BH14" s="1"/>
      <c r="BI14" s="1"/>
      <c r="BJ14" s="1"/>
      <c r="BK14" s="1"/>
      <c r="BL14" s="1"/>
      <c r="BM14" s="1"/>
    </row>
    <row r="15" spans="1:65" x14ac:dyDescent="0.3">
      <c r="A15" s="16"/>
      <c r="B15" s="24"/>
      <c r="C15" s="25"/>
      <c r="D15" s="25"/>
      <c r="E15" s="20"/>
      <c r="F15" s="20"/>
      <c r="G15" s="11" t="s">
        <v>23</v>
      </c>
      <c r="H15" s="6"/>
      <c r="I15" s="6"/>
      <c r="J15" s="13"/>
      <c r="K15" s="13"/>
      <c r="L15" s="4"/>
      <c r="M15" s="13"/>
      <c r="N15" s="13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13"/>
      <c r="AC15" s="13"/>
      <c r="AD15" s="13"/>
      <c r="AE15" s="13"/>
      <c r="AF15" s="13"/>
      <c r="AG15" s="13"/>
      <c r="AH15" s="4"/>
      <c r="AI15" s="13"/>
      <c r="AJ15" s="13"/>
      <c r="AK15" s="6"/>
      <c r="AL15" s="13"/>
      <c r="AM15" s="13"/>
      <c r="AN15" s="13"/>
      <c r="AO15" s="13"/>
      <c r="AP15" s="13"/>
      <c r="AQ15" s="13"/>
      <c r="AR15" s="13"/>
      <c r="AS15" s="13"/>
      <c r="AT15" s="13"/>
      <c r="AU15" s="4"/>
      <c r="AV15" s="4"/>
      <c r="AW15" s="6"/>
      <c r="AX15" s="6"/>
      <c r="AY15" s="6"/>
      <c r="AZ15" s="6"/>
      <c r="BA15" s="6"/>
      <c r="BB15" s="6"/>
      <c r="BC15" s="6"/>
      <c r="BD15" s="6"/>
      <c r="BE15" s="4"/>
      <c r="BF15" s="1"/>
      <c r="BG15" s="1"/>
      <c r="BH15" s="1"/>
      <c r="BI15" s="1"/>
      <c r="BJ15" s="1"/>
      <c r="BK15" s="1"/>
      <c r="BL15" s="1"/>
      <c r="BM15" s="1"/>
    </row>
    <row r="16" spans="1:65" x14ac:dyDescent="0.3">
      <c r="A16" s="16" t="s">
        <v>4</v>
      </c>
      <c r="B16" s="24">
        <v>1</v>
      </c>
      <c r="C16" s="25">
        <f>SUM(M16:AM16)</f>
        <v>372</v>
      </c>
      <c r="D16" s="25" t="s">
        <v>29</v>
      </c>
      <c r="E16" s="19">
        <v>46085</v>
      </c>
      <c r="F16" s="19">
        <v>46127</v>
      </c>
      <c r="G16" s="11" t="s">
        <v>22</v>
      </c>
      <c r="H16" s="6"/>
      <c r="I16" s="6"/>
      <c r="J16" s="13"/>
      <c r="K16" s="13"/>
      <c r="L16" s="6" t="s">
        <v>19</v>
      </c>
      <c r="M16" s="3">
        <v>27</v>
      </c>
      <c r="N16" s="3">
        <v>0</v>
      </c>
      <c r="O16" s="3">
        <v>28</v>
      </c>
      <c r="P16" s="3">
        <v>8</v>
      </c>
      <c r="Q16" s="3">
        <v>6</v>
      </c>
      <c r="R16" s="3">
        <v>0</v>
      </c>
      <c r="S16" s="3">
        <v>0</v>
      </c>
      <c r="T16" s="3">
        <v>17</v>
      </c>
      <c r="U16" s="3">
        <v>20</v>
      </c>
      <c r="V16" s="3">
        <v>17</v>
      </c>
      <c r="W16" s="3">
        <v>31</v>
      </c>
      <c r="X16" s="3">
        <v>14</v>
      </c>
      <c r="Y16" s="3">
        <v>14</v>
      </c>
      <c r="Z16" s="3">
        <v>14</v>
      </c>
      <c r="AA16" s="3">
        <v>14</v>
      </c>
      <c r="AB16" s="3">
        <v>14</v>
      </c>
      <c r="AC16" s="3">
        <v>14</v>
      </c>
      <c r="AD16" s="3">
        <v>14</v>
      </c>
      <c r="AE16" s="3">
        <v>15</v>
      </c>
      <c r="AF16" s="3">
        <v>15</v>
      </c>
      <c r="AG16" s="3">
        <v>15</v>
      </c>
      <c r="AH16" s="6" t="s">
        <v>19</v>
      </c>
      <c r="AI16" s="3">
        <v>15</v>
      </c>
      <c r="AJ16" s="3">
        <v>15</v>
      </c>
      <c r="AK16" s="3">
        <v>15</v>
      </c>
      <c r="AL16" s="3">
        <v>15</v>
      </c>
      <c r="AM16" s="3">
        <v>15</v>
      </c>
      <c r="AN16" s="13"/>
      <c r="AO16" s="13"/>
      <c r="AP16" s="13"/>
      <c r="AQ16" s="13"/>
      <c r="AR16" s="13"/>
      <c r="AS16" s="13"/>
      <c r="AT16" s="13"/>
      <c r="AU16" s="6" t="s">
        <v>19</v>
      </c>
      <c r="AV16" s="6" t="s">
        <v>19</v>
      </c>
      <c r="AW16" s="6"/>
      <c r="AX16" s="6"/>
      <c r="AY16" s="6"/>
      <c r="AZ16" s="6"/>
      <c r="BA16" s="6"/>
      <c r="BB16" s="6"/>
      <c r="BC16" s="6"/>
      <c r="BD16" s="6"/>
      <c r="BE16" s="6" t="s">
        <v>19</v>
      </c>
      <c r="BF16" s="1"/>
      <c r="BG16" s="1"/>
      <c r="BH16" s="1"/>
      <c r="BI16" s="1"/>
      <c r="BJ16" s="1"/>
      <c r="BK16" s="1"/>
      <c r="BL16" s="1"/>
      <c r="BM16" s="1"/>
    </row>
    <row r="17" spans="1:65" x14ac:dyDescent="0.3">
      <c r="A17" s="16"/>
      <c r="B17" s="24"/>
      <c r="C17" s="25"/>
      <c r="D17" s="25"/>
      <c r="E17" s="20"/>
      <c r="F17" s="20"/>
      <c r="G17" s="11" t="s">
        <v>23</v>
      </c>
      <c r="H17" s="6"/>
      <c r="I17" s="6"/>
      <c r="J17" s="6"/>
      <c r="K17" s="6"/>
      <c r="L17" s="4"/>
      <c r="M17" s="13"/>
      <c r="N17" s="13"/>
      <c r="O17" s="13"/>
      <c r="P17" s="13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13"/>
      <c r="AC17" s="13"/>
      <c r="AD17" s="13"/>
      <c r="AE17" s="13"/>
      <c r="AF17" s="13"/>
      <c r="AG17" s="13"/>
      <c r="AH17" s="4"/>
      <c r="AI17" s="13"/>
      <c r="AJ17" s="13"/>
      <c r="AK17" s="6"/>
      <c r="AL17" s="13"/>
      <c r="AM17" s="13"/>
      <c r="AN17" s="13"/>
      <c r="AO17" s="13"/>
      <c r="AP17" s="13"/>
      <c r="AQ17" s="13"/>
      <c r="AR17" s="13"/>
      <c r="AS17" s="13"/>
      <c r="AT17" s="13"/>
      <c r="AU17" s="4"/>
      <c r="AV17" s="4"/>
      <c r="AW17" s="6"/>
      <c r="AX17" s="6"/>
      <c r="AY17" s="6"/>
      <c r="AZ17" s="6"/>
      <c r="BA17" s="6"/>
      <c r="BB17" s="6"/>
      <c r="BC17" s="6"/>
      <c r="BD17" s="6"/>
      <c r="BE17" s="4"/>
      <c r="BF17" s="1"/>
      <c r="BG17" s="1"/>
      <c r="BH17" s="1"/>
      <c r="BI17" s="1"/>
      <c r="BJ17" s="1"/>
      <c r="BK17" s="1"/>
      <c r="BL17" s="1"/>
      <c r="BM17" s="1"/>
    </row>
    <row r="18" spans="1:65" x14ac:dyDescent="0.3">
      <c r="A18" s="16" t="s">
        <v>5</v>
      </c>
      <c r="B18" s="24">
        <v>1</v>
      </c>
      <c r="C18" s="25">
        <f>SUM(Q18:AN18)</f>
        <v>325</v>
      </c>
      <c r="D18" s="25" t="s">
        <v>29</v>
      </c>
      <c r="E18" s="19">
        <v>46090</v>
      </c>
      <c r="F18" s="19">
        <v>46129</v>
      </c>
      <c r="G18" s="11" t="s">
        <v>22</v>
      </c>
      <c r="H18" s="6"/>
      <c r="I18" s="6"/>
      <c r="J18" s="6"/>
      <c r="K18" s="6"/>
      <c r="L18" s="6" t="s">
        <v>19</v>
      </c>
      <c r="M18" s="13"/>
      <c r="N18" s="13"/>
      <c r="O18" s="13"/>
      <c r="P18" s="13"/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13"/>
      <c r="AC18" s="13"/>
      <c r="AD18" s="13"/>
      <c r="AE18" s="13"/>
      <c r="AF18" s="3">
        <v>40</v>
      </c>
      <c r="AG18" s="3">
        <v>41.25</v>
      </c>
      <c r="AH18" s="6" t="s">
        <v>19</v>
      </c>
      <c r="AI18" s="3">
        <v>40</v>
      </c>
      <c r="AJ18" s="3">
        <v>41.25</v>
      </c>
      <c r="AK18" s="3">
        <v>40</v>
      </c>
      <c r="AL18" s="3">
        <v>41.25</v>
      </c>
      <c r="AM18" s="3">
        <v>40</v>
      </c>
      <c r="AN18" s="3">
        <v>41.25</v>
      </c>
      <c r="AO18" s="13"/>
      <c r="AP18" s="13"/>
      <c r="AQ18" s="13"/>
      <c r="AR18" s="13"/>
      <c r="AS18" s="13"/>
      <c r="AT18" s="13"/>
      <c r="AU18" s="6" t="s">
        <v>19</v>
      </c>
      <c r="AV18" s="6" t="s">
        <v>19</v>
      </c>
      <c r="AW18" s="6"/>
      <c r="AX18" s="6"/>
      <c r="AY18" s="6"/>
      <c r="AZ18" s="6"/>
      <c r="BA18" s="6"/>
      <c r="BB18" s="6"/>
      <c r="BC18" s="6"/>
      <c r="BD18" s="6"/>
      <c r="BE18" s="6" t="s">
        <v>19</v>
      </c>
      <c r="BF18" s="1"/>
      <c r="BG18" s="1"/>
      <c r="BH18" s="1"/>
      <c r="BI18" s="1"/>
      <c r="BJ18" s="1"/>
      <c r="BK18" s="1"/>
      <c r="BL18" s="1"/>
      <c r="BM18" s="1"/>
    </row>
    <row r="19" spans="1:65" x14ac:dyDescent="0.3">
      <c r="A19" s="16"/>
      <c r="B19" s="24"/>
      <c r="C19" s="25"/>
      <c r="D19" s="25"/>
      <c r="E19" s="20"/>
      <c r="F19" s="20"/>
      <c r="G19" s="11" t="s">
        <v>23</v>
      </c>
      <c r="H19" s="6"/>
      <c r="I19" s="6"/>
      <c r="J19" s="6"/>
      <c r="K19" s="6"/>
      <c r="L19" s="4"/>
      <c r="M19" s="13"/>
      <c r="N19" s="13"/>
      <c r="O19" s="13"/>
      <c r="P19" s="13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13"/>
      <c r="AC19" s="13"/>
      <c r="AD19" s="13"/>
      <c r="AE19" s="13"/>
      <c r="AF19" s="13"/>
      <c r="AG19" s="13"/>
      <c r="AH19" s="4"/>
      <c r="AI19" s="13"/>
      <c r="AJ19" s="13"/>
      <c r="AK19" s="6"/>
      <c r="AL19" s="13"/>
      <c r="AM19" s="13"/>
      <c r="AN19" s="13"/>
      <c r="AO19" s="13"/>
      <c r="AP19" s="13"/>
      <c r="AQ19" s="13"/>
      <c r="AR19" s="13"/>
      <c r="AS19" s="13"/>
      <c r="AT19" s="13"/>
      <c r="AU19" s="4"/>
      <c r="AV19" s="4"/>
      <c r="AW19" s="6"/>
      <c r="AX19" s="6"/>
      <c r="AY19" s="6"/>
      <c r="AZ19" s="6"/>
      <c r="BA19" s="6"/>
      <c r="BB19" s="6"/>
      <c r="BC19" s="6"/>
      <c r="BD19" s="6"/>
      <c r="BE19" s="4"/>
      <c r="BF19" s="1"/>
      <c r="BG19" s="1"/>
      <c r="BH19" s="1"/>
      <c r="BI19" s="1"/>
      <c r="BJ19" s="1"/>
      <c r="BK19" s="1"/>
      <c r="BL19" s="1"/>
      <c r="BM19" s="1"/>
    </row>
    <row r="20" spans="1:65" x14ac:dyDescent="0.3">
      <c r="A20" s="16" t="s">
        <v>6</v>
      </c>
      <c r="B20" s="24">
        <v>1</v>
      </c>
      <c r="C20" s="25">
        <f>SUM(Y20:AR20)</f>
        <v>800</v>
      </c>
      <c r="D20" s="25" t="s">
        <v>29</v>
      </c>
      <c r="E20" s="19">
        <v>46097</v>
      </c>
      <c r="F20" s="19">
        <v>46134</v>
      </c>
      <c r="G20" s="11" t="s">
        <v>22</v>
      </c>
      <c r="H20" s="6"/>
      <c r="I20" s="6"/>
      <c r="J20" s="6"/>
      <c r="K20" s="6"/>
      <c r="L20" s="6" t="s">
        <v>19</v>
      </c>
      <c r="M20" s="13"/>
      <c r="N20" s="13"/>
      <c r="O20" s="13"/>
      <c r="P20" s="13"/>
      <c r="Q20" s="6"/>
      <c r="R20" s="6"/>
      <c r="S20" s="6"/>
      <c r="T20" s="6"/>
      <c r="U20" s="6"/>
      <c r="V20" s="6"/>
      <c r="W20" s="6"/>
      <c r="Y20" s="6"/>
      <c r="Z20" s="6"/>
      <c r="AA20" s="6"/>
      <c r="AB20" s="6"/>
      <c r="AC20" s="6"/>
      <c r="AD20" s="6"/>
      <c r="AE20" s="3">
        <v>360</v>
      </c>
      <c r="AF20" s="6"/>
      <c r="AG20" s="6"/>
      <c r="AH20" s="6" t="s">
        <v>19</v>
      </c>
      <c r="AI20" s="13"/>
      <c r="AK20" s="13"/>
      <c r="AL20" s="13"/>
      <c r="AM20" s="13"/>
      <c r="AN20" s="13"/>
      <c r="AO20" s="13"/>
      <c r="AP20" s="13"/>
      <c r="AR20" s="3">
        <v>440</v>
      </c>
      <c r="AT20" s="6"/>
      <c r="AU20" s="6" t="s">
        <v>19</v>
      </c>
      <c r="AV20" s="6" t="s">
        <v>19</v>
      </c>
      <c r="AW20" s="13"/>
      <c r="AX20" s="6"/>
      <c r="AY20" s="6"/>
      <c r="AZ20" s="6"/>
      <c r="BA20" s="6"/>
      <c r="BB20" s="6"/>
      <c r="BC20" s="6"/>
      <c r="BD20" s="6"/>
      <c r="BE20" s="6" t="s">
        <v>19</v>
      </c>
      <c r="BF20" s="1"/>
      <c r="BG20" s="1"/>
      <c r="BH20" s="1"/>
      <c r="BI20" s="1"/>
      <c r="BJ20" s="1"/>
      <c r="BK20" s="1"/>
      <c r="BL20" s="1"/>
      <c r="BM20" s="1"/>
    </row>
    <row r="21" spans="1:65" x14ac:dyDescent="0.3">
      <c r="A21" s="16"/>
      <c r="B21" s="24"/>
      <c r="C21" s="25"/>
      <c r="D21" s="25"/>
      <c r="E21" s="20"/>
      <c r="F21" s="20"/>
      <c r="G21" s="11" t="s">
        <v>23</v>
      </c>
      <c r="H21" s="6"/>
      <c r="I21" s="6"/>
      <c r="J21" s="6"/>
      <c r="K21" s="6"/>
      <c r="L21" s="4"/>
      <c r="M21" s="13"/>
      <c r="N21" s="13"/>
      <c r="O21" s="13"/>
      <c r="P21" s="13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4"/>
      <c r="AI21" s="13"/>
      <c r="AJ21" s="13"/>
      <c r="AK21" s="13"/>
      <c r="AL21" s="13"/>
      <c r="AM21" s="13"/>
      <c r="AN21" s="13"/>
      <c r="AO21" s="13"/>
      <c r="AP21" s="13"/>
      <c r="AQ21" s="6"/>
      <c r="AR21" s="6"/>
      <c r="AS21" s="6"/>
      <c r="AT21" s="6"/>
      <c r="AU21" s="4"/>
      <c r="AV21" s="4"/>
      <c r="AW21" s="13"/>
      <c r="AX21" s="6"/>
      <c r="AY21" s="6"/>
      <c r="AZ21" s="6"/>
      <c r="BA21" s="6"/>
      <c r="BB21" s="6"/>
      <c r="BC21" s="6"/>
      <c r="BD21" s="6"/>
      <c r="BE21" s="4"/>
    </row>
    <row r="22" spans="1:65" x14ac:dyDescent="0.3">
      <c r="A22" s="16" t="s">
        <v>27</v>
      </c>
      <c r="B22" s="17">
        <v>2</v>
      </c>
      <c r="C22" s="18">
        <f>Z22</f>
        <v>5</v>
      </c>
      <c r="D22" s="33" t="s">
        <v>30</v>
      </c>
      <c r="E22" s="19">
        <v>46097</v>
      </c>
      <c r="F22" s="19">
        <v>46134</v>
      </c>
      <c r="G22" s="11" t="s">
        <v>22</v>
      </c>
      <c r="H22" s="13"/>
      <c r="I22" s="13"/>
      <c r="J22" s="13"/>
      <c r="K22" s="13"/>
      <c r="L22" s="6" t="s">
        <v>19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5">
        <v>5</v>
      </c>
      <c r="AA22" s="6"/>
      <c r="AB22" s="6"/>
      <c r="AC22" s="6"/>
      <c r="AD22" s="6"/>
      <c r="AE22" s="6"/>
      <c r="AF22" s="6"/>
      <c r="AG22" s="6"/>
      <c r="AH22" s="6" t="s">
        <v>19</v>
      </c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6" t="s">
        <v>19</v>
      </c>
      <c r="AV22" s="6" t="s">
        <v>19</v>
      </c>
      <c r="AW22" s="13"/>
      <c r="AX22" s="13"/>
      <c r="AY22" s="13"/>
      <c r="AZ22" s="13"/>
      <c r="BA22" s="13"/>
      <c r="BB22" s="13"/>
      <c r="BC22" s="13"/>
      <c r="BD22" s="13"/>
      <c r="BE22" s="6" t="s">
        <v>19</v>
      </c>
    </row>
    <row r="23" spans="1:65" x14ac:dyDescent="0.3">
      <c r="A23" s="16"/>
      <c r="B23" s="17"/>
      <c r="C23" s="18"/>
      <c r="D23" s="34"/>
      <c r="E23" s="20"/>
      <c r="F23" s="20"/>
      <c r="G23" s="11" t="s">
        <v>23</v>
      </c>
      <c r="H23" s="13"/>
      <c r="I23" s="13"/>
      <c r="J23" s="13"/>
      <c r="K23" s="13"/>
      <c r="L23" s="4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4"/>
      <c r="AC23" s="4"/>
      <c r="AD23" s="4"/>
      <c r="AE23" s="4"/>
      <c r="AF23" s="4"/>
      <c r="AG23" s="4"/>
      <c r="AH23" s="4"/>
      <c r="AI23" s="4"/>
      <c r="AJ23" s="4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4"/>
      <c r="AV23" s="4"/>
      <c r="AW23" s="13"/>
      <c r="AX23" s="13"/>
      <c r="AY23" s="13"/>
      <c r="AZ23" s="13"/>
      <c r="BA23" s="13"/>
      <c r="BB23" s="13"/>
      <c r="BC23" s="13"/>
      <c r="BD23" s="13"/>
      <c r="BE23" s="4"/>
    </row>
    <row r="24" spans="1:65" x14ac:dyDescent="0.3">
      <c r="A24" s="16" t="s">
        <v>20</v>
      </c>
      <c r="B24" s="17">
        <v>2</v>
      </c>
      <c r="C24" s="18">
        <f>SUM(AA24:AJ24)</f>
        <v>476</v>
      </c>
      <c r="D24" s="33" t="s">
        <v>30</v>
      </c>
      <c r="E24" s="19">
        <v>46097</v>
      </c>
      <c r="F24" s="19">
        <v>46134</v>
      </c>
      <c r="G24" s="11" t="s">
        <v>22</v>
      </c>
      <c r="H24" s="13"/>
      <c r="I24" s="13"/>
      <c r="J24" s="13"/>
      <c r="K24" s="13"/>
      <c r="L24" s="6" t="s">
        <v>19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5">
        <v>68</v>
      </c>
      <c r="AB24" s="5">
        <v>68</v>
      </c>
      <c r="AC24" s="5">
        <v>68</v>
      </c>
      <c r="AD24" s="5">
        <v>68</v>
      </c>
      <c r="AE24" s="5">
        <v>68</v>
      </c>
      <c r="AF24" s="5">
        <v>68</v>
      </c>
      <c r="AG24" s="5">
        <v>68</v>
      </c>
      <c r="AH24" s="6" t="s">
        <v>19</v>
      </c>
      <c r="AI24" s="5"/>
      <c r="AJ24" s="5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6" t="s">
        <v>19</v>
      </c>
      <c r="AV24" s="6" t="s">
        <v>19</v>
      </c>
      <c r="AW24" s="13"/>
      <c r="AX24" s="13"/>
      <c r="AY24" s="13"/>
      <c r="AZ24" s="13"/>
      <c r="BA24" s="13"/>
      <c r="BB24" s="13"/>
      <c r="BC24" s="13"/>
      <c r="BD24" s="13"/>
      <c r="BE24" s="6" t="s">
        <v>19</v>
      </c>
    </row>
    <row r="25" spans="1:65" x14ac:dyDescent="0.3">
      <c r="A25" s="16"/>
      <c r="B25" s="17"/>
      <c r="C25" s="18"/>
      <c r="D25" s="34"/>
      <c r="E25" s="20"/>
      <c r="F25" s="20"/>
      <c r="G25" s="11" t="s">
        <v>23</v>
      </c>
      <c r="H25" s="13"/>
      <c r="I25" s="13"/>
      <c r="J25" s="13"/>
      <c r="K25" s="13"/>
      <c r="L25" s="4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4"/>
      <c r="AC25" s="4"/>
      <c r="AD25" s="4"/>
      <c r="AE25" s="4"/>
      <c r="AF25" s="4"/>
      <c r="AG25" s="4"/>
      <c r="AH25" s="4"/>
      <c r="AI25" s="4"/>
      <c r="AJ25" s="4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4"/>
      <c r="AV25" s="4"/>
      <c r="AW25" s="13"/>
      <c r="AX25" s="13"/>
      <c r="AY25" s="13"/>
      <c r="AZ25" s="13"/>
      <c r="BA25" s="13"/>
      <c r="BB25" s="13"/>
      <c r="BC25" s="13"/>
      <c r="BD25" s="13"/>
      <c r="BE25" s="4"/>
    </row>
    <row r="26" spans="1:65" x14ac:dyDescent="0.3">
      <c r="A26" s="16" t="s">
        <v>21</v>
      </c>
      <c r="B26" s="17">
        <v>2</v>
      </c>
      <c r="C26" s="18">
        <f>SUM(AA26:AJ26)</f>
        <v>476</v>
      </c>
      <c r="D26" s="33" t="s">
        <v>30</v>
      </c>
      <c r="E26" s="19">
        <v>46097</v>
      </c>
      <c r="F26" s="19">
        <v>46134</v>
      </c>
      <c r="G26" s="11" t="s">
        <v>22</v>
      </c>
      <c r="H26" s="13"/>
      <c r="I26" s="13"/>
      <c r="J26" s="13"/>
      <c r="K26" s="13"/>
      <c r="L26" s="6" t="s">
        <v>19</v>
      </c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5">
        <v>68</v>
      </c>
      <c r="AB26" s="5">
        <v>68</v>
      </c>
      <c r="AC26" s="5">
        <v>68</v>
      </c>
      <c r="AD26" s="5">
        <v>68</v>
      </c>
      <c r="AE26" s="5">
        <v>68</v>
      </c>
      <c r="AF26" s="5">
        <v>68</v>
      </c>
      <c r="AG26" s="5">
        <v>68</v>
      </c>
      <c r="AH26" s="6" t="s">
        <v>19</v>
      </c>
      <c r="AI26" s="5"/>
      <c r="AJ26" s="5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6" t="s">
        <v>19</v>
      </c>
      <c r="AV26" s="6" t="s">
        <v>19</v>
      </c>
      <c r="AW26" s="13"/>
      <c r="AX26" s="13"/>
      <c r="AY26" s="13"/>
      <c r="AZ26" s="13"/>
      <c r="BA26" s="13"/>
      <c r="BB26" s="13"/>
      <c r="BC26" s="13"/>
      <c r="BD26" s="13"/>
      <c r="BE26" s="6" t="s">
        <v>19</v>
      </c>
    </row>
    <row r="27" spans="1:65" x14ac:dyDescent="0.3">
      <c r="A27" s="16"/>
      <c r="B27" s="17"/>
      <c r="C27" s="18"/>
      <c r="D27" s="34"/>
      <c r="E27" s="20"/>
      <c r="F27" s="20"/>
      <c r="G27" s="11" t="s">
        <v>23</v>
      </c>
      <c r="H27" s="13"/>
      <c r="I27" s="13"/>
      <c r="J27" s="13"/>
      <c r="K27" s="13"/>
      <c r="L27" s="4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4"/>
      <c r="AC27" s="4"/>
      <c r="AD27" s="4"/>
      <c r="AE27" s="4"/>
      <c r="AF27" s="4"/>
      <c r="AG27" s="4"/>
      <c r="AH27" s="4"/>
      <c r="AI27" s="4"/>
      <c r="AJ27" s="4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4"/>
      <c r="AV27" s="4"/>
      <c r="AW27" s="13"/>
      <c r="AX27" s="13"/>
      <c r="AY27" s="13"/>
      <c r="AZ27" s="13"/>
      <c r="BA27" s="13"/>
      <c r="BB27" s="13"/>
      <c r="BC27" s="13"/>
      <c r="BD27" s="13"/>
      <c r="BE27" s="4"/>
    </row>
    <row r="28" spans="1:65" x14ac:dyDescent="0.3">
      <c r="A28" s="16" t="s">
        <v>0</v>
      </c>
      <c r="B28" s="17">
        <v>2</v>
      </c>
      <c r="C28" s="18">
        <f>SUM(AB28:AG28,AJ28:AO28)</f>
        <v>233.6</v>
      </c>
      <c r="D28" s="33" t="s">
        <v>30</v>
      </c>
      <c r="E28" s="19">
        <v>46097</v>
      </c>
      <c r="F28" s="19">
        <v>46134</v>
      </c>
      <c r="G28" s="11" t="s">
        <v>22</v>
      </c>
      <c r="H28" s="13"/>
      <c r="I28" s="13"/>
      <c r="J28" s="13"/>
      <c r="K28" s="13"/>
      <c r="L28" s="6" t="s">
        <v>19</v>
      </c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5">
        <v>26</v>
      </c>
      <c r="AC28" s="5">
        <v>26</v>
      </c>
      <c r="AD28" s="5">
        <v>25.6</v>
      </c>
      <c r="AE28" s="5">
        <v>26</v>
      </c>
      <c r="AF28" s="5">
        <v>26</v>
      </c>
      <c r="AG28" s="5">
        <v>26</v>
      </c>
      <c r="AH28" s="6" t="s">
        <v>19</v>
      </c>
      <c r="AI28" s="5">
        <v>26</v>
      </c>
      <c r="AJ28" s="5">
        <v>26</v>
      </c>
      <c r="AK28" s="5">
        <v>26</v>
      </c>
      <c r="AL28" s="5">
        <v>26</v>
      </c>
      <c r="AN28" s="13"/>
      <c r="AO28" s="13"/>
      <c r="AP28" s="13"/>
      <c r="AQ28" s="13"/>
      <c r="AR28" s="13"/>
      <c r="AS28" s="13"/>
      <c r="AT28" s="13"/>
      <c r="AU28" s="6" t="s">
        <v>19</v>
      </c>
      <c r="AV28" s="6" t="s">
        <v>19</v>
      </c>
      <c r="AW28" s="13"/>
      <c r="AX28" s="13"/>
      <c r="AY28" s="13"/>
      <c r="AZ28" s="13"/>
      <c r="BA28" s="13"/>
      <c r="BB28" s="13"/>
      <c r="BC28" s="13"/>
      <c r="BD28" s="13"/>
      <c r="BE28" s="6" t="s">
        <v>19</v>
      </c>
    </row>
    <row r="29" spans="1:65" x14ac:dyDescent="0.3">
      <c r="A29" s="16"/>
      <c r="B29" s="17"/>
      <c r="C29" s="18"/>
      <c r="D29" s="34"/>
      <c r="E29" s="20"/>
      <c r="F29" s="20"/>
      <c r="G29" s="11" t="s">
        <v>23</v>
      </c>
      <c r="H29" s="13"/>
      <c r="I29" s="13"/>
      <c r="J29" s="13"/>
      <c r="K29" s="13"/>
      <c r="L29" s="4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6"/>
      <c r="AC29" s="6"/>
      <c r="AD29" s="6"/>
      <c r="AE29" s="6"/>
      <c r="AF29" s="6"/>
      <c r="AG29" s="6"/>
      <c r="AH29" s="4"/>
      <c r="AI29" s="6"/>
      <c r="AJ29" s="6"/>
      <c r="AK29" s="6"/>
      <c r="AL29" s="13"/>
      <c r="AM29" s="13"/>
      <c r="AN29" s="13"/>
      <c r="AO29" s="13"/>
      <c r="AP29" s="13"/>
      <c r="AQ29" s="13"/>
      <c r="AR29" s="13"/>
      <c r="AS29" s="13"/>
      <c r="AT29" s="13"/>
      <c r="AU29" s="4"/>
      <c r="AV29" s="4"/>
      <c r="AW29" s="13"/>
      <c r="AX29" s="13"/>
      <c r="AY29" s="13"/>
      <c r="AZ29" s="13"/>
      <c r="BA29" s="13"/>
      <c r="BB29" s="13"/>
      <c r="BC29" s="13"/>
      <c r="BD29" s="13"/>
      <c r="BE29" s="4"/>
    </row>
    <row r="30" spans="1:65" x14ac:dyDescent="0.3">
      <c r="A30" s="16" t="s">
        <v>1</v>
      </c>
      <c r="B30" s="17">
        <v>2</v>
      </c>
      <c r="C30" s="18">
        <f>SUM(AC30:AG30,AI30:BD30)</f>
        <v>43.3</v>
      </c>
      <c r="D30" s="33" t="s">
        <v>30</v>
      </c>
      <c r="E30" s="19">
        <v>46097</v>
      </c>
      <c r="F30" s="19">
        <v>46134</v>
      </c>
      <c r="G30" s="11" t="s">
        <v>22</v>
      </c>
      <c r="H30" s="13"/>
      <c r="I30" s="13"/>
      <c r="J30" s="13"/>
      <c r="K30" s="13"/>
      <c r="L30" s="6" t="s">
        <v>19</v>
      </c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6"/>
      <c r="AC30" s="8">
        <v>3.94</v>
      </c>
      <c r="AD30" s="8">
        <v>3.76</v>
      </c>
      <c r="AE30" s="8">
        <v>3.94</v>
      </c>
      <c r="AF30" s="8">
        <v>2</v>
      </c>
      <c r="AG30" s="8">
        <v>3.94</v>
      </c>
      <c r="AH30" s="6" t="s">
        <v>19</v>
      </c>
      <c r="AI30" s="8">
        <v>2</v>
      </c>
      <c r="AJ30" s="8">
        <v>3.94</v>
      </c>
      <c r="AK30" s="8">
        <v>2</v>
      </c>
      <c r="AL30" s="8">
        <v>3.94</v>
      </c>
      <c r="AM30" s="8">
        <v>2</v>
      </c>
      <c r="AN30" s="8">
        <v>3.94</v>
      </c>
      <c r="AO30" s="8">
        <v>2</v>
      </c>
      <c r="AP30" s="8">
        <v>3.9</v>
      </c>
      <c r="AQ30" s="8">
        <v>2</v>
      </c>
      <c r="AR30" s="13"/>
      <c r="AS30" s="13"/>
      <c r="AT30" s="13"/>
      <c r="AU30" s="6" t="s">
        <v>19</v>
      </c>
      <c r="AV30" s="6" t="s">
        <v>19</v>
      </c>
      <c r="AW30" s="13"/>
      <c r="AX30" s="13"/>
      <c r="AY30" s="13"/>
      <c r="AZ30" s="13"/>
      <c r="BA30" s="13"/>
      <c r="BB30" s="13"/>
      <c r="BC30" s="13"/>
      <c r="BD30" s="13"/>
      <c r="BE30" s="6" t="s">
        <v>19</v>
      </c>
    </row>
    <row r="31" spans="1:65" x14ac:dyDescent="0.3">
      <c r="A31" s="16"/>
      <c r="B31" s="17"/>
      <c r="C31" s="18"/>
      <c r="D31" s="34"/>
      <c r="E31" s="20"/>
      <c r="F31" s="20"/>
      <c r="G31" s="11" t="s">
        <v>23</v>
      </c>
      <c r="H31" s="13"/>
      <c r="I31" s="13"/>
      <c r="J31" s="13"/>
      <c r="K31" s="13"/>
      <c r="L31" s="4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6"/>
      <c r="AC31" s="6"/>
      <c r="AD31" s="6"/>
      <c r="AE31" s="6"/>
      <c r="AF31" s="6"/>
      <c r="AG31" s="6"/>
      <c r="AH31" s="4"/>
      <c r="AI31" s="6"/>
      <c r="AJ31" s="6"/>
      <c r="AK31" s="6"/>
      <c r="AL31" s="6"/>
      <c r="AM31" s="6"/>
      <c r="AN31" s="13"/>
      <c r="AO31" s="13"/>
      <c r="AP31" s="13"/>
      <c r="AQ31" s="13"/>
      <c r="AR31" s="13"/>
      <c r="AS31" s="13"/>
      <c r="AT31" s="13"/>
      <c r="AU31" s="4"/>
      <c r="AV31" s="4"/>
      <c r="AW31" s="13"/>
      <c r="AX31" s="13"/>
      <c r="AY31" s="13"/>
      <c r="AZ31" s="13"/>
      <c r="BA31" s="13"/>
      <c r="BB31" s="13"/>
      <c r="BC31" s="13"/>
      <c r="BD31" s="13"/>
      <c r="BE31" s="4"/>
    </row>
    <row r="32" spans="1:65" x14ac:dyDescent="0.3">
      <c r="A32" s="16" t="s">
        <v>2</v>
      </c>
      <c r="B32" s="17">
        <v>2</v>
      </c>
      <c r="C32" s="18">
        <f>SUM(AD32:AG32,AI32:AV32)</f>
        <v>238</v>
      </c>
      <c r="D32" s="33" t="s">
        <v>30</v>
      </c>
      <c r="E32" s="19">
        <v>46097</v>
      </c>
      <c r="F32" s="19">
        <v>46134</v>
      </c>
      <c r="G32" s="11" t="s">
        <v>22</v>
      </c>
      <c r="H32" s="13"/>
      <c r="I32" s="13"/>
      <c r="J32" s="13"/>
      <c r="K32" s="13"/>
      <c r="L32" s="6" t="s">
        <v>19</v>
      </c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6"/>
      <c r="AC32" s="6"/>
      <c r="AD32" s="8">
        <v>16</v>
      </c>
      <c r="AE32" s="8">
        <v>16</v>
      </c>
      <c r="AF32" s="8">
        <v>16</v>
      </c>
      <c r="AG32" s="8">
        <v>16</v>
      </c>
      <c r="AH32" s="6" t="s">
        <v>19</v>
      </c>
      <c r="AI32" s="8">
        <v>16</v>
      </c>
      <c r="AJ32" s="8">
        <v>16</v>
      </c>
      <c r="AK32" s="8">
        <v>16</v>
      </c>
      <c r="AL32" s="8">
        <v>16</v>
      </c>
      <c r="AM32" s="8">
        <v>16</v>
      </c>
      <c r="AN32" s="8">
        <v>16</v>
      </c>
      <c r="AO32" s="8">
        <v>16</v>
      </c>
      <c r="AP32" s="8">
        <v>16</v>
      </c>
      <c r="AQ32" s="8">
        <v>16</v>
      </c>
      <c r="AR32" s="8">
        <v>16</v>
      </c>
      <c r="AS32" s="8">
        <v>14</v>
      </c>
      <c r="AT32" s="13"/>
      <c r="AU32" s="6" t="s">
        <v>19</v>
      </c>
      <c r="AV32" s="6" t="s">
        <v>19</v>
      </c>
      <c r="AX32" s="13"/>
      <c r="AY32" s="13"/>
      <c r="AZ32" s="13"/>
      <c r="BA32" s="13"/>
      <c r="BB32" s="13"/>
      <c r="BC32" s="13"/>
      <c r="BD32" s="13"/>
      <c r="BE32" s="6" t="s">
        <v>19</v>
      </c>
    </row>
    <row r="33" spans="1:57" x14ac:dyDescent="0.3">
      <c r="A33" s="16"/>
      <c r="B33" s="17"/>
      <c r="C33" s="18"/>
      <c r="D33" s="34"/>
      <c r="E33" s="20"/>
      <c r="F33" s="20"/>
      <c r="G33" s="11" t="s">
        <v>23</v>
      </c>
      <c r="H33" s="13"/>
      <c r="I33" s="13"/>
      <c r="J33" s="13"/>
      <c r="K33" s="13"/>
      <c r="L33" s="4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6"/>
      <c r="AC33" s="6"/>
      <c r="AD33" s="6"/>
      <c r="AE33" s="6"/>
      <c r="AF33" s="6"/>
      <c r="AG33" s="6"/>
      <c r="AH33" s="4"/>
      <c r="AI33" s="6"/>
      <c r="AJ33" s="6"/>
      <c r="AK33" s="6"/>
      <c r="AL33" s="6"/>
      <c r="AM33" s="6"/>
      <c r="AN33" s="13"/>
      <c r="AO33" s="13"/>
      <c r="AP33" s="13"/>
      <c r="AQ33" s="13"/>
      <c r="AR33" s="13"/>
      <c r="AS33" s="13"/>
      <c r="AT33" s="13"/>
      <c r="AU33" s="4"/>
      <c r="AV33" s="4"/>
      <c r="AW33" s="13"/>
      <c r="AX33" s="13"/>
      <c r="AY33" s="13"/>
      <c r="AZ33" s="13"/>
      <c r="BA33" s="13"/>
      <c r="BB33" s="13"/>
      <c r="BC33" s="13"/>
      <c r="BD33" s="13"/>
      <c r="BE33" s="4"/>
    </row>
    <row r="34" spans="1:57" x14ac:dyDescent="0.3">
      <c r="A34" s="16" t="s">
        <v>3</v>
      </c>
      <c r="B34" s="17">
        <v>2</v>
      </c>
      <c r="C34" s="18">
        <f>SUM(AI34:AV34)</f>
        <v>3</v>
      </c>
      <c r="D34" s="33" t="s">
        <v>30</v>
      </c>
      <c r="E34" s="19">
        <v>46097</v>
      </c>
      <c r="F34" s="19">
        <v>46134</v>
      </c>
      <c r="G34" s="11" t="s">
        <v>22</v>
      </c>
      <c r="H34" s="13"/>
      <c r="I34" s="13"/>
      <c r="J34" s="13"/>
      <c r="K34" s="13"/>
      <c r="L34" s="6" t="s">
        <v>19</v>
      </c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6"/>
      <c r="AC34" s="6"/>
      <c r="AD34" s="6"/>
      <c r="AE34" s="6"/>
      <c r="AF34" s="6"/>
      <c r="AG34" s="6"/>
      <c r="AH34" s="6" t="s">
        <v>19</v>
      </c>
      <c r="AI34" s="8">
        <v>1</v>
      </c>
      <c r="AJ34" s="8"/>
      <c r="AK34" s="8"/>
      <c r="AL34" s="8"/>
      <c r="AM34" s="8"/>
      <c r="AN34" s="8">
        <v>1</v>
      </c>
      <c r="AO34" s="8"/>
      <c r="AP34" s="8"/>
      <c r="AQ34" s="8"/>
      <c r="AR34" s="8"/>
      <c r="AS34" s="8">
        <v>1</v>
      </c>
      <c r="AT34" s="13"/>
      <c r="AU34" s="6" t="s">
        <v>19</v>
      </c>
      <c r="AV34" s="6" t="s">
        <v>19</v>
      </c>
      <c r="AX34" s="13"/>
      <c r="AY34" s="13"/>
      <c r="AZ34" s="13"/>
      <c r="BA34" s="13"/>
      <c r="BB34" s="13"/>
      <c r="BC34" s="13"/>
      <c r="BD34" s="13"/>
      <c r="BE34" s="6" t="s">
        <v>19</v>
      </c>
    </row>
    <row r="35" spans="1:57" x14ac:dyDescent="0.3">
      <c r="A35" s="16"/>
      <c r="B35" s="17"/>
      <c r="C35" s="18"/>
      <c r="D35" s="34"/>
      <c r="E35" s="20"/>
      <c r="F35" s="20"/>
      <c r="G35" s="11" t="s">
        <v>23</v>
      </c>
      <c r="H35" s="13"/>
      <c r="I35" s="13"/>
      <c r="J35" s="13"/>
      <c r="K35" s="13"/>
      <c r="L35" s="4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6"/>
      <c r="AC35" s="6"/>
      <c r="AD35" s="6"/>
      <c r="AE35" s="6"/>
      <c r="AF35" s="6"/>
      <c r="AG35" s="6"/>
      <c r="AH35" s="4"/>
      <c r="AI35" s="6"/>
      <c r="AJ35" s="6"/>
      <c r="AK35" s="6"/>
      <c r="AL35" s="6"/>
      <c r="AM35" s="6"/>
      <c r="AN35" s="13"/>
      <c r="AO35" s="13"/>
      <c r="AP35" s="13"/>
      <c r="AQ35" s="13"/>
      <c r="AR35" s="13"/>
      <c r="AS35" s="13"/>
      <c r="AT35" s="13"/>
      <c r="AU35" s="4"/>
      <c r="AV35" s="4"/>
      <c r="AW35" s="13"/>
      <c r="AX35" s="13"/>
      <c r="AY35" s="13"/>
      <c r="AZ35" s="13"/>
      <c r="BA35" s="13"/>
      <c r="BB35" s="13"/>
      <c r="BC35" s="13"/>
      <c r="BD35" s="13"/>
      <c r="BE35" s="4"/>
    </row>
    <row r="36" spans="1:57" x14ac:dyDescent="0.3">
      <c r="A36" s="16" t="s">
        <v>4</v>
      </c>
      <c r="B36" s="17">
        <v>2</v>
      </c>
      <c r="C36" s="18">
        <f>SUM(AD36:AG36,AI36:AT36)</f>
        <v>256</v>
      </c>
      <c r="D36" s="33" t="s">
        <v>30</v>
      </c>
      <c r="E36" s="19">
        <v>46097</v>
      </c>
      <c r="F36" s="19">
        <v>46134</v>
      </c>
      <c r="G36" s="11" t="s">
        <v>22</v>
      </c>
      <c r="H36" s="13"/>
      <c r="I36" s="13"/>
      <c r="J36" s="13"/>
      <c r="K36" s="13"/>
      <c r="L36" s="6" t="s">
        <v>19</v>
      </c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6"/>
      <c r="AC36" s="6"/>
      <c r="AD36" s="8">
        <v>16</v>
      </c>
      <c r="AE36" s="8">
        <v>16</v>
      </c>
      <c r="AF36" s="8">
        <v>16</v>
      </c>
      <c r="AG36" s="8">
        <v>16</v>
      </c>
      <c r="AH36" s="6" t="s">
        <v>19</v>
      </c>
      <c r="AI36" s="8">
        <v>16</v>
      </c>
      <c r="AJ36" s="8">
        <v>16</v>
      </c>
      <c r="AK36" s="8">
        <v>16</v>
      </c>
      <c r="AL36" s="8">
        <v>16</v>
      </c>
      <c r="AM36" s="8">
        <v>16</v>
      </c>
      <c r="AN36" s="8">
        <v>16</v>
      </c>
      <c r="AO36" s="8">
        <v>16</v>
      </c>
      <c r="AP36" s="8">
        <v>16</v>
      </c>
      <c r="AQ36" s="8">
        <v>16</v>
      </c>
      <c r="AR36" s="8">
        <v>16</v>
      </c>
      <c r="AS36" s="8">
        <v>16</v>
      </c>
      <c r="AT36" s="8">
        <v>16</v>
      </c>
      <c r="AU36" s="6" t="s">
        <v>19</v>
      </c>
      <c r="AV36" s="6" t="s">
        <v>19</v>
      </c>
      <c r="AW36" s="13"/>
      <c r="AX36" s="13"/>
      <c r="AY36" s="13"/>
      <c r="AZ36" s="13"/>
      <c r="BA36" s="13"/>
      <c r="BB36" s="13"/>
      <c r="BC36" s="13"/>
      <c r="BD36" s="13"/>
      <c r="BE36" s="6" t="s">
        <v>19</v>
      </c>
    </row>
    <row r="37" spans="1:57" x14ac:dyDescent="0.3">
      <c r="A37" s="16"/>
      <c r="B37" s="17"/>
      <c r="C37" s="18"/>
      <c r="D37" s="34"/>
      <c r="E37" s="20"/>
      <c r="F37" s="20"/>
      <c r="G37" s="11" t="s">
        <v>23</v>
      </c>
      <c r="H37" s="13"/>
      <c r="I37" s="13"/>
      <c r="J37" s="13"/>
      <c r="K37" s="13"/>
      <c r="L37" s="4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6"/>
      <c r="AC37" s="6"/>
      <c r="AD37" s="6"/>
      <c r="AE37" s="6"/>
      <c r="AF37" s="6"/>
      <c r="AG37" s="6"/>
      <c r="AH37" s="4"/>
      <c r="AI37" s="6"/>
      <c r="AJ37" s="6"/>
      <c r="AK37" s="6"/>
      <c r="AL37" s="6"/>
      <c r="AM37" s="6"/>
      <c r="AN37" s="6"/>
      <c r="AO37" s="6"/>
      <c r="AP37" s="6"/>
      <c r="AQ37" s="13"/>
      <c r="AR37" s="13"/>
      <c r="AS37" s="13"/>
      <c r="AT37" s="13"/>
      <c r="AU37" s="4"/>
      <c r="AV37" s="4"/>
      <c r="AW37" s="13"/>
      <c r="AX37" s="13"/>
      <c r="AY37" s="13"/>
      <c r="AZ37" s="13"/>
      <c r="BA37" s="13"/>
      <c r="BB37" s="13"/>
      <c r="BC37" s="13"/>
      <c r="BD37" s="13"/>
      <c r="BE37" s="4"/>
    </row>
    <row r="38" spans="1:57" x14ac:dyDescent="0.3">
      <c r="A38" s="16" t="s">
        <v>5</v>
      </c>
      <c r="B38" s="17">
        <v>2</v>
      </c>
      <c r="C38" s="18">
        <f>SUM(AI38:AT38)</f>
        <v>476</v>
      </c>
      <c r="D38" s="33" t="s">
        <v>30</v>
      </c>
      <c r="E38" s="19">
        <v>46097</v>
      </c>
      <c r="F38" s="19">
        <v>46134</v>
      </c>
      <c r="G38" s="11" t="s">
        <v>22</v>
      </c>
      <c r="H38" s="13"/>
      <c r="I38" s="13"/>
      <c r="J38" s="13"/>
      <c r="K38" s="13"/>
      <c r="L38" s="6" t="s">
        <v>19</v>
      </c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6"/>
      <c r="AC38" s="6"/>
      <c r="AD38" s="6"/>
      <c r="AE38" s="6"/>
      <c r="AF38" s="6"/>
      <c r="AG38" s="8"/>
      <c r="AH38" s="6" t="s">
        <v>19</v>
      </c>
      <c r="AI38" s="8"/>
      <c r="AJ38" s="8"/>
      <c r="AK38" s="8">
        <v>40</v>
      </c>
      <c r="AL38" s="8">
        <v>40</v>
      </c>
      <c r="AM38" s="8">
        <v>40</v>
      </c>
      <c r="AN38" s="8">
        <v>40</v>
      </c>
      <c r="AO38" s="8"/>
      <c r="AP38" s="8">
        <v>40</v>
      </c>
      <c r="AQ38" s="8">
        <v>40</v>
      </c>
      <c r="AR38" s="8">
        <v>80</v>
      </c>
      <c r="AS38" s="8">
        <v>80</v>
      </c>
      <c r="AT38" s="8">
        <v>76</v>
      </c>
      <c r="AU38" s="6" t="s">
        <v>19</v>
      </c>
      <c r="AV38" s="6" t="s">
        <v>19</v>
      </c>
      <c r="AW38" s="13"/>
      <c r="AX38" s="13"/>
      <c r="AY38" s="13"/>
      <c r="AZ38" s="13"/>
      <c r="BA38" s="13"/>
      <c r="BB38" s="13"/>
      <c r="BC38" s="13"/>
      <c r="BD38" s="13"/>
      <c r="BE38" s="6" t="s">
        <v>19</v>
      </c>
    </row>
    <row r="39" spans="1:57" x14ac:dyDescent="0.3">
      <c r="A39" s="16"/>
      <c r="B39" s="17"/>
      <c r="C39" s="18"/>
      <c r="D39" s="34"/>
      <c r="E39" s="20"/>
      <c r="F39" s="20"/>
      <c r="G39" s="11" t="s">
        <v>23</v>
      </c>
      <c r="H39" s="13"/>
      <c r="I39" s="13"/>
      <c r="J39" s="13"/>
      <c r="K39" s="13"/>
      <c r="L39" s="4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6"/>
      <c r="AA39" s="6"/>
      <c r="AB39" s="6"/>
      <c r="AC39" s="6"/>
      <c r="AD39" s="6"/>
      <c r="AE39" s="6"/>
      <c r="AF39" s="13"/>
      <c r="AG39" s="13"/>
      <c r="AH39" s="4"/>
      <c r="AI39" s="6"/>
      <c r="AJ39" s="6"/>
      <c r="AK39" s="6"/>
      <c r="AL39" s="6"/>
      <c r="AM39" s="6"/>
      <c r="AN39" s="6"/>
      <c r="AO39" s="6"/>
      <c r="AP39" s="6"/>
      <c r="AQ39" s="13"/>
      <c r="AR39" s="13"/>
      <c r="AS39" s="13"/>
      <c r="AT39" s="13"/>
      <c r="AU39" s="4"/>
      <c r="AV39" s="4"/>
      <c r="AW39" s="13"/>
      <c r="AX39" s="13"/>
      <c r="AY39" s="13"/>
      <c r="AZ39" s="13"/>
      <c r="BA39" s="13"/>
      <c r="BB39" s="13"/>
      <c r="BC39" s="13"/>
      <c r="BD39" s="13"/>
      <c r="BE39" s="4"/>
    </row>
    <row r="40" spans="1:57" x14ac:dyDescent="0.3">
      <c r="A40" s="16" t="s">
        <v>6</v>
      </c>
      <c r="B40" s="17">
        <v>2</v>
      </c>
      <c r="C40" s="18">
        <f>SUM(AT40:AY40)</f>
        <v>476</v>
      </c>
      <c r="D40" s="33" t="s">
        <v>30</v>
      </c>
      <c r="E40" s="19">
        <v>46097</v>
      </c>
      <c r="F40" s="19">
        <v>46134</v>
      </c>
      <c r="G40" s="11" t="s">
        <v>22</v>
      </c>
      <c r="H40" s="13"/>
      <c r="I40" s="13"/>
      <c r="J40" s="13"/>
      <c r="K40" s="13"/>
      <c r="L40" s="6" t="s">
        <v>19</v>
      </c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6" t="s">
        <v>19</v>
      </c>
      <c r="AI40" s="6"/>
      <c r="AJ40" s="6"/>
      <c r="AK40" s="6"/>
      <c r="AL40" s="6"/>
      <c r="AM40" s="6"/>
      <c r="AN40" s="6"/>
      <c r="AO40" s="6"/>
      <c r="AP40" s="6"/>
      <c r="AR40" s="6"/>
      <c r="AT40" s="8">
        <v>160</v>
      </c>
      <c r="AU40" s="6" t="s">
        <v>19</v>
      </c>
      <c r="AV40" s="6" t="s">
        <v>19</v>
      </c>
      <c r="AW40" s="13"/>
      <c r="AX40" s="13"/>
      <c r="AY40" s="8">
        <v>316</v>
      </c>
      <c r="AZ40" s="13"/>
      <c r="BA40" s="13"/>
      <c r="BB40" s="13"/>
      <c r="BC40" s="13"/>
      <c r="BD40" s="13"/>
      <c r="BE40" s="6" t="s">
        <v>19</v>
      </c>
    </row>
    <row r="41" spans="1:57" x14ac:dyDescent="0.3">
      <c r="A41" s="16"/>
      <c r="B41" s="17"/>
      <c r="C41" s="18"/>
      <c r="D41" s="34"/>
      <c r="E41" s="20"/>
      <c r="F41" s="20"/>
      <c r="G41" s="11" t="s">
        <v>23</v>
      </c>
      <c r="H41" s="13"/>
      <c r="I41" s="13"/>
      <c r="J41" s="13"/>
      <c r="K41" s="13"/>
      <c r="L41" s="4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6"/>
      <c r="AE41" s="6"/>
      <c r="AF41" s="6"/>
      <c r="AG41" s="6"/>
      <c r="AH41" s="4"/>
      <c r="AI41" s="13"/>
      <c r="AJ41" s="13"/>
      <c r="AK41" s="13"/>
      <c r="AL41" s="13"/>
      <c r="AM41" s="6"/>
      <c r="AN41" s="6"/>
      <c r="AO41" s="6"/>
      <c r="AP41" s="6"/>
      <c r="AQ41" s="6"/>
      <c r="AR41" s="6"/>
      <c r="AS41" s="6"/>
      <c r="AT41" s="6"/>
      <c r="AU41" s="4"/>
      <c r="AV41" s="4"/>
      <c r="AW41" s="6"/>
      <c r="AX41" s="13"/>
      <c r="AY41" s="13"/>
      <c r="AZ41" s="13"/>
      <c r="BA41" s="13"/>
      <c r="BB41" s="13"/>
      <c r="BC41" s="13"/>
      <c r="BD41" s="13"/>
      <c r="BE41" s="4"/>
    </row>
    <row r="42" spans="1:57" x14ac:dyDescent="0.3">
      <c r="A42" s="16" t="s">
        <v>20</v>
      </c>
      <c r="B42" s="21">
        <v>3</v>
      </c>
      <c r="C42" s="22">
        <f>SUM(AI42:AJ42)</f>
        <v>126</v>
      </c>
      <c r="D42" s="22" t="s">
        <v>29</v>
      </c>
      <c r="E42" s="19">
        <v>46097</v>
      </c>
      <c r="F42" s="19">
        <v>46134</v>
      </c>
      <c r="G42" s="11" t="s">
        <v>22</v>
      </c>
      <c r="H42" s="13"/>
      <c r="I42" s="13"/>
      <c r="J42" s="13"/>
      <c r="K42" s="13"/>
      <c r="L42" s="6" t="s">
        <v>19</v>
      </c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6" t="s">
        <v>19</v>
      </c>
      <c r="AI42" s="7">
        <v>63</v>
      </c>
      <c r="AJ42" s="7">
        <v>63</v>
      </c>
      <c r="AK42" s="4"/>
      <c r="AL42" s="13"/>
      <c r="AM42" s="13"/>
      <c r="AN42" s="13"/>
      <c r="AO42" s="13"/>
      <c r="AP42" s="13"/>
      <c r="AQ42" s="13"/>
      <c r="AR42" s="6"/>
      <c r="AS42" s="6"/>
      <c r="AT42" s="6"/>
      <c r="AU42" s="6" t="s">
        <v>19</v>
      </c>
      <c r="AV42" s="6" t="s">
        <v>19</v>
      </c>
      <c r="AW42" s="4"/>
      <c r="AX42" s="4"/>
      <c r="AY42" s="13"/>
      <c r="AZ42" s="13"/>
      <c r="BA42" s="13"/>
      <c r="BB42" s="13"/>
      <c r="BC42" s="13"/>
      <c r="BD42" s="13"/>
      <c r="BE42" s="6" t="s">
        <v>19</v>
      </c>
    </row>
    <row r="43" spans="1:57" x14ac:dyDescent="0.3">
      <c r="A43" s="16"/>
      <c r="B43" s="21"/>
      <c r="C43" s="23"/>
      <c r="D43" s="23"/>
      <c r="E43" s="20"/>
      <c r="F43" s="20"/>
      <c r="G43" s="11" t="s">
        <v>23</v>
      </c>
      <c r="H43" s="13"/>
      <c r="I43" s="13"/>
      <c r="J43" s="13"/>
      <c r="K43" s="13"/>
      <c r="L43" s="4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4"/>
      <c r="AI43" s="4"/>
      <c r="AJ43" s="4"/>
      <c r="AK43" s="4"/>
      <c r="AL43" s="13"/>
      <c r="AM43" s="13"/>
      <c r="AN43" s="13"/>
      <c r="AO43" s="13"/>
      <c r="AP43" s="13"/>
      <c r="AQ43" s="13"/>
      <c r="AR43" s="6"/>
      <c r="AS43" s="6"/>
      <c r="AT43" s="6"/>
      <c r="AU43" s="4"/>
      <c r="AV43" s="4"/>
      <c r="AW43" s="4"/>
      <c r="AX43" s="4"/>
      <c r="AY43" s="13"/>
      <c r="AZ43" s="13"/>
      <c r="BA43" s="13"/>
      <c r="BB43" s="13"/>
      <c r="BC43" s="13"/>
      <c r="BD43" s="13"/>
      <c r="BE43" s="4"/>
    </row>
    <row r="44" spans="1:57" x14ac:dyDescent="0.3">
      <c r="A44" s="16" t="s">
        <v>21</v>
      </c>
      <c r="B44" s="21">
        <v>3</v>
      </c>
      <c r="C44" s="22">
        <f>SUM(AI44:AJ44)</f>
        <v>126</v>
      </c>
      <c r="D44" s="22" t="s">
        <v>29</v>
      </c>
      <c r="E44" s="19">
        <v>46097</v>
      </c>
      <c r="F44" s="19">
        <v>46134</v>
      </c>
      <c r="G44" s="11" t="s">
        <v>22</v>
      </c>
      <c r="H44" s="13"/>
      <c r="I44" s="13"/>
      <c r="J44" s="13"/>
      <c r="K44" s="13"/>
      <c r="L44" s="6" t="s">
        <v>19</v>
      </c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6" t="s">
        <v>19</v>
      </c>
      <c r="AI44" s="7">
        <v>63</v>
      </c>
      <c r="AJ44" s="7">
        <v>63</v>
      </c>
      <c r="AK44" s="4"/>
      <c r="AL44" s="13"/>
      <c r="AM44" s="13"/>
      <c r="AN44" s="13"/>
      <c r="AO44" s="13"/>
      <c r="AP44" s="13"/>
      <c r="AQ44" s="13"/>
      <c r="AR44" s="6"/>
      <c r="AS44" s="6"/>
      <c r="AT44" s="6"/>
      <c r="AU44" s="6" t="s">
        <v>19</v>
      </c>
      <c r="AV44" s="6" t="s">
        <v>19</v>
      </c>
      <c r="AW44" s="4"/>
      <c r="AX44" s="4"/>
      <c r="AY44" s="13"/>
      <c r="AZ44" s="13"/>
      <c r="BA44" s="13"/>
      <c r="BB44" s="13"/>
      <c r="BC44" s="13"/>
      <c r="BD44" s="13"/>
      <c r="BE44" s="6" t="s">
        <v>19</v>
      </c>
    </row>
    <row r="45" spans="1:57" x14ac:dyDescent="0.3">
      <c r="A45" s="16"/>
      <c r="B45" s="21"/>
      <c r="C45" s="23"/>
      <c r="D45" s="23"/>
      <c r="E45" s="20"/>
      <c r="F45" s="20"/>
      <c r="G45" s="11" t="s">
        <v>23</v>
      </c>
      <c r="H45" s="13"/>
      <c r="I45" s="13"/>
      <c r="J45" s="13"/>
      <c r="K45" s="13"/>
      <c r="L45" s="4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4"/>
      <c r="AI45" s="4"/>
      <c r="AJ45" s="4"/>
      <c r="AK45" s="4"/>
      <c r="AL45" s="13"/>
      <c r="AM45" s="13"/>
      <c r="AN45" s="13"/>
      <c r="AO45" s="13"/>
      <c r="AP45" s="13"/>
      <c r="AQ45" s="13"/>
      <c r="AR45" s="6"/>
      <c r="AS45" s="6"/>
      <c r="AT45" s="6"/>
      <c r="AU45" s="4"/>
      <c r="AV45" s="4"/>
      <c r="AW45" s="4"/>
      <c r="AX45" s="4"/>
      <c r="AY45" s="13"/>
      <c r="AZ45" s="13"/>
      <c r="BA45" s="13"/>
      <c r="BB45" s="13"/>
      <c r="BC45" s="13"/>
      <c r="BD45" s="13"/>
      <c r="BE45" s="4"/>
    </row>
    <row r="46" spans="1:57" x14ac:dyDescent="0.3">
      <c r="A46" s="16" t="s">
        <v>0</v>
      </c>
      <c r="B46" s="21">
        <v>3</v>
      </c>
      <c r="C46" s="22">
        <f>SUM(AI46:AK46)</f>
        <v>75.599999999999994</v>
      </c>
      <c r="D46" s="22" t="s">
        <v>29</v>
      </c>
      <c r="E46" s="19">
        <v>46097</v>
      </c>
      <c r="F46" s="19">
        <v>46134</v>
      </c>
      <c r="G46" s="11" t="s">
        <v>22</v>
      </c>
      <c r="H46" s="13"/>
      <c r="I46" s="13"/>
      <c r="J46" s="13"/>
      <c r="K46" s="13"/>
      <c r="L46" s="6" t="s">
        <v>19</v>
      </c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6" t="s">
        <v>19</v>
      </c>
      <c r="AI46" s="7">
        <v>25.2</v>
      </c>
      <c r="AJ46" s="7">
        <v>25.2</v>
      </c>
      <c r="AK46" s="7">
        <v>25.2</v>
      </c>
      <c r="AL46" s="13"/>
      <c r="AM46" s="13"/>
      <c r="AN46" s="13"/>
      <c r="AO46" s="13"/>
      <c r="AP46" s="13"/>
      <c r="AQ46" s="13"/>
      <c r="AR46" s="6"/>
      <c r="AS46" s="6"/>
      <c r="AT46" s="6"/>
      <c r="AU46" s="6" t="s">
        <v>19</v>
      </c>
      <c r="AV46" s="6" t="s">
        <v>19</v>
      </c>
      <c r="AW46" s="6"/>
      <c r="AX46" s="6"/>
      <c r="AY46" s="13"/>
      <c r="AZ46" s="13"/>
      <c r="BA46" s="13"/>
      <c r="BB46" s="13"/>
      <c r="BC46" s="13"/>
      <c r="BD46" s="13"/>
      <c r="BE46" s="6" t="s">
        <v>19</v>
      </c>
    </row>
    <row r="47" spans="1:57" x14ac:dyDescent="0.3">
      <c r="A47" s="16"/>
      <c r="B47" s="21"/>
      <c r="C47" s="23"/>
      <c r="D47" s="23"/>
      <c r="E47" s="20"/>
      <c r="F47" s="20"/>
      <c r="G47" s="11" t="s">
        <v>23</v>
      </c>
      <c r="H47" s="13"/>
      <c r="I47" s="13"/>
      <c r="J47" s="13"/>
      <c r="K47" s="13"/>
      <c r="L47" s="4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4"/>
      <c r="AI47" s="6"/>
      <c r="AJ47" s="6"/>
      <c r="AK47" s="6"/>
      <c r="AL47" s="13"/>
      <c r="AM47" s="13"/>
      <c r="AN47" s="13"/>
      <c r="AO47" s="13"/>
      <c r="AP47" s="13"/>
      <c r="AQ47" s="13"/>
      <c r="AR47" s="6"/>
      <c r="AS47" s="6"/>
      <c r="AT47" s="6"/>
      <c r="AU47" s="4"/>
      <c r="AV47" s="4"/>
      <c r="AW47" s="6"/>
      <c r="AX47" s="6"/>
      <c r="AY47" s="13"/>
      <c r="AZ47" s="13"/>
      <c r="BA47" s="13"/>
      <c r="BB47" s="13"/>
      <c r="BC47" s="13"/>
      <c r="BD47" s="13"/>
      <c r="BE47" s="4"/>
    </row>
    <row r="48" spans="1:57" x14ac:dyDescent="0.3">
      <c r="A48" s="16" t="s">
        <v>1</v>
      </c>
      <c r="B48" s="21">
        <v>3</v>
      </c>
      <c r="C48" s="22">
        <f>SUM(AJ48:AK48,AL48)</f>
        <v>11.399999999999999</v>
      </c>
      <c r="D48" s="22" t="s">
        <v>29</v>
      </c>
      <c r="E48" s="19">
        <v>46097</v>
      </c>
      <c r="F48" s="19">
        <v>46134</v>
      </c>
      <c r="G48" s="11" t="s">
        <v>22</v>
      </c>
      <c r="H48" s="13"/>
      <c r="I48" s="13"/>
      <c r="J48" s="13"/>
      <c r="K48" s="13"/>
      <c r="L48" s="6" t="s">
        <v>19</v>
      </c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6" t="s">
        <v>19</v>
      </c>
      <c r="AI48" s="9"/>
      <c r="AJ48" s="7">
        <v>3.8</v>
      </c>
      <c r="AK48" s="7">
        <v>3.8</v>
      </c>
      <c r="AL48" s="7">
        <v>3.8</v>
      </c>
      <c r="AM48" s="6"/>
      <c r="AN48" s="13"/>
      <c r="AO48" s="13"/>
      <c r="AP48" s="13"/>
      <c r="AQ48" s="13"/>
      <c r="AR48" s="6"/>
      <c r="AS48" s="6"/>
      <c r="AT48" s="6"/>
      <c r="AU48" s="6" t="s">
        <v>19</v>
      </c>
      <c r="AV48" s="6" t="s">
        <v>19</v>
      </c>
      <c r="AW48" s="6"/>
      <c r="AX48" s="6"/>
      <c r="AY48" s="13"/>
      <c r="AZ48" s="13"/>
      <c r="BA48" s="13"/>
      <c r="BB48" s="13"/>
      <c r="BC48" s="13"/>
      <c r="BD48" s="13"/>
      <c r="BE48" s="6" t="s">
        <v>19</v>
      </c>
    </row>
    <row r="49" spans="1:57" x14ac:dyDescent="0.3">
      <c r="A49" s="16"/>
      <c r="B49" s="21"/>
      <c r="C49" s="23"/>
      <c r="D49" s="23"/>
      <c r="E49" s="20"/>
      <c r="F49" s="20"/>
      <c r="G49" s="11" t="s">
        <v>23</v>
      </c>
      <c r="H49" s="13"/>
      <c r="I49" s="13"/>
      <c r="J49" s="13"/>
      <c r="K49" s="13"/>
      <c r="L49" s="4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4"/>
      <c r="AI49" s="6"/>
      <c r="AJ49" s="6"/>
      <c r="AK49" s="6"/>
      <c r="AL49" s="6"/>
      <c r="AM49" s="6"/>
      <c r="AN49" s="13"/>
      <c r="AO49" s="13"/>
      <c r="AP49" s="13"/>
      <c r="AQ49" s="13"/>
      <c r="AR49" s="6"/>
      <c r="AS49" s="6"/>
      <c r="AT49" s="6"/>
      <c r="AU49" s="4"/>
      <c r="AV49" s="4"/>
      <c r="AW49" s="6"/>
      <c r="AX49" s="6"/>
      <c r="AY49" s="13"/>
      <c r="AZ49" s="13"/>
      <c r="BA49" s="13"/>
      <c r="BB49" s="13"/>
      <c r="BC49" s="13"/>
      <c r="BD49" s="13"/>
      <c r="BE49" s="4"/>
    </row>
    <row r="50" spans="1:57" x14ac:dyDescent="0.3">
      <c r="A50" s="16" t="s">
        <v>2</v>
      </c>
      <c r="B50" s="21">
        <v>3</v>
      </c>
      <c r="C50" s="22">
        <f>SUM(AK50:AN50)</f>
        <v>63</v>
      </c>
      <c r="D50" s="22" t="s">
        <v>29</v>
      </c>
      <c r="E50" s="19">
        <v>46097</v>
      </c>
      <c r="F50" s="19">
        <v>46134</v>
      </c>
      <c r="G50" s="11" t="s">
        <v>22</v>
      </c>
      <c r="H50" s="13"/>
      <c r="I50" s="13"/>
      <c r="J50" s="13"/>
      <c r="K50" s="13"/>
      <c r="L50" s="6" t="s">
        <v>19</v>
      </c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6" t="s">
        <v>19</v>
      </c>
      <c r="AI50" s="6"/>
      <c r="AJ50" s="6"/>
      <c r="AK50" s="10">
        <v>15.75</v>
      </c>
      <c r="AL50" s="10">
        <v>15.75</v>
      </c>
      <c r="AM50" s="10">
        <v>15.75</v>
      </c>
      <c r="AN50" s="10">
        <v>15.75</v>
      </c>
      <c r="AO50" s="13"/>
      <c r="AP50" s="13"/>
      <c r="AQ50" s="13"/>
      <c r="AR50" s="6"/>
      <c r="AS50" s="6"/>
      <c r="AT50" s="6"/>
      <c r="AU50" s="6" t="s">
        <v>19</v>
      </c>
      <c r="AV50" s="6" t="s">
        <v>19</v>
      </c>
      <c r="AW50" s="6"/>
      <c r="AX50" s="6"/>
      <c r="AY50" s="13"/>
      <c r="AZ50" s="13"/>
      <c r="BA50" s="13"/>
      <c r="BB50" s="13"/>
      <c r="BC50" s="13"/>
      <c r="BD50" s="13"/>
      <c r="BE50" s="6" t="s">
        <v>19</v>
      </c>
    </row>
    <row r="51" spans="1:57" x14ac:dyDescent="0.3">
      <c r="A51" s="16"/>
      <c r="B51" s="21"/>
      <c r="C51" s="23"/>
      <c r="D51" s="23"/>
      <c r="E51" s="20"/>
      <c r="F51" s="20"/>
      <c r="G51" s="11" t="s">
        <v>23</v>
      </c>
      <c r="H51" s="13"/>
      <c r="I51" s="13"/>
      <c r="J51" s="13"/>
      <c r="K51" s="13"/>
      <c r="L51" s="4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4"/>
      <c r="AI51" s="13"/>
      <c r="AJ51" s="13"/>
      <c r="AK51" s="13"/>
      <c r="AL51" s="6"/>
      <c r="AM51" s="6"/>
      <c r="AN51" s="13"/>
      <c r="AO51" s="13"/>
      <c r="AP51" s="13"/>
      <c r="AQ51" s="13"/>
      <c r="AR51" s="13"/>
      <c r="AS51" s="13"/>
      <c r="AT51" s="13"/>
      <c r="AU51" s="4"/>
      <c r="AV51" s="4"/>
      <c r="AW51" s="6"/>
      <c r="AX51" s="6"/>
      <c r="AY51" s="13"/>
      <c r="AZ51" s="13"/>
      <c r="BA51" s="13"/>
      <c r="BB51" s="13"/>
      <c r="BC51" s="13"/>
      <c r="BD51" s="13"/>
      <c r="BE51" s="4"/>
    </row>
    <row r="52" spans="1:57" x14ac:dyDescent="0.3">
      <c r="A52" s="16" t="s">
        <v>3</v>
      </c>
      <c r="B52" s="21">
        <v>3</v>
      </c>
      <c r="C52" s="22">
        <f>SUM(AN52)</f>
        <v>1</v>
      </c>
      <c r="D52" s="22" t="s">
        <v>29</v>
      </c>
      <c r="E52" s="19">
        <v>46097</v>
      </c>
      <c r="F52" s="19">
        <v>46134</v>
      </c>
      <c r="G52" s="11" t="s">
        <v>22</v>
      </c>
      <c r="H52" s="13"/>
      <c r="I52" s="13"/>
      <c r="J52" s="13"/>
      <c r="K52" s="13"/>
      <c r="L52" s="6" t="s">
        <v>19</v>
      </c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6" t="s">
        <v>19</v>
      </c>
      <c r="AI52" s="13"/>
      <c r="AJ52" s="13"/>
      <c r="AK52" s="13"/>
      <c r="AL52" s="13"/>
      <c r="AM52" s="13"/>
      <c r="AN52" s="10">
        <v>1</v>
      </c>
      <c r="AO52" s="13"/>
      <c r="AP52" s="13"/>
      <c r="AQ52" s="13"/>
      <c r="AR52" s="13"/>
      <c r="AS52" s="13"/>
      <c r="AT52" s="13"/>
      <c r="AU52" s="6" t="s">
        <v>19</v>
      </c>
      <c r="AV52" s="6" t="s">
        <v>19</v>
      </c>
      <c r="AW52" s="6"/>
      <c r="AX52" s="6"/>
      <c r="AY52" s="13"/>
      <c r="AZ52" s="13"/>
      <c r="BA52" s="13"/>
      <c r="BB52" s="13"/>
      <c r="BC52" s="13"/>
      <c r="BD52" s="13"/>
      <c r="BE52" s="6" t="s">
        <v>19</v>
      </c>
    </row>
    <row r="53" spans="1:57" x14ac:dyDescent="0.3">
      <c r="A53" s="16"/>
      <c r="B53" s="21"/>
      <c r="C53" s="23"/>
      <c r="D53" s="23"/>
      <c r="E53" s="20"/>
      <c r="F53" s="20"/>
      <c r="G53" s="11" t="s">
        <v>23</v>
      </c>
      <c r="H53" s="13"/>
      <c r="I53" s="13"/>
      <c r="J53" s="13"/>
      <c r="K53" s="13"/>
      <c r="L53" s="4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4"/>
      <c r="AI53" s="13"/>
      <c r="AJ53" s="13"/>
      <c r="AK53" s="13"/>
      <c r="AL53" s="6"/>
      <c r="AM53" s="6"/>
      <c r="AN53" s="13"/>
      <c r="AO53" s="13"/>
      <c r="AP53" s="13"/>
      <c r="AQ53" s="13"/>
      <c r="AR53" s="13"/>
      <c r="AS53" s="13"/>
      <c r="AT53" s="13"/>
      <c r="AU53" s="4"/>
      <c r="AV53" s="4"/>
      <c r="AW53" s="6"/>
      <c r="AX53" s="6"/>
      <c r="AY53" s="13"/>
      <c r="AZ53" s="13"/>
      <c r="BA53" s="13"/>
      <c r="BB53" s="13"/>
      <c r="BC53" s="13"/>
      <c r="BD53" s="13"/>
      <c r="BE53" s="4"/>
    </row>
    <row r="54" spans="1:57" x14ac:dyDescent="0.3">
      <c r="A54" s="16" t="s">
        <v>4</v>
      </c>
      <c r="B54" s="21">
        <v>3</v>
      </c>
      <c r="C54" s="22">
        <f>SUM(AL54:AO54)</f>
        <v>55</v>
      </c>
      <c r="D54" s="22" t="s">
        <v>29</v>
      </c>
      <c r="E54" s="19">
        <v>46097</v>
      </c>
      <c r="F54" s="19">
        <v>46134</v>
      </c>
      <c r="G54" s="11" t="s">
        <v>22</v>
      </c>
      <c r="H54" s="13"/>
      <c r="I54" s="13"/>
      <c r="J54" s="13"/>
      <c r="K54" s="13"/>
      <c r="L54" s="6" t="s">
        <v>19</v>
      </c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6" t="s">
        <v>19</v>
      </c>
      <c r="AI54" s="13"/>
      <c r="AJ54" s="13"/>
      <c r="AK54" s="13"/>
      <c r="AL54" s="10">
        <v>18.399999999999999</v>
      </c>
      <c r="AM54" s="10">
        <v>18.399999999999999</v>
      </c>
      <c r="AN54" s="10">
        <v>18.2</v>
      </c>
      <c r="AO54" s="13"/>
      <c r="AP54" s="13"/>
      <c r="AQ54" s="13"/>
      <c r="AR54" s="13"/>
      <c r="AS54" s="13"/>
      <c r="AT54" s="13"/>
      <c r="AU54" s="6" t="s">
        <v>19</v>
      </c>
      <c r="AV54" s="6" t="s">
        <v>19</v>
      </c>
      <c r="AW54" s="6"/>
      <c r="AX54" s="6"/>
      <c r="AY54" s="13"/>
      <c r="AZ54" s="13"/>
      <c r="BA54" s="13"/>
      <c r="BB54" s="13"/>
      <c r="BC54" s="13"/>
      <c r="BD54" s="13"/>
      <c r="BE54" s="6" t="s">
        <v>19</v>
      </c>
    </row>
    <row r="55" spans="1:57" x14ac:dyDescent="0.3">
      <c r="A55" s="16"/>
      <c r="B55" s="21"/>
      <c r="C55" s="23"/>
      <c r="D55" s="23"/>
      <c r="E55" s="20"/>
      <c r="F55" s="20"/>
      <c r="G55" s="11" t="s">
        <v>23</v>
      </c>
      <c r="H55" s="13"/>
      <c r="I55" s="13"/>
      <c r="J55" s="13"/>
      <c r="K55" s="13"/>
      <c r="L55" s="4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4"/>
      <c r="AI55" s="13"/>
      <c r="AJ55" s="13"/>
      <c r="AK55" s="13"/>
      <c r="AL55" s="6"/>
      <c r="AM55" s="6"/>
      <c r="AN55" s="13"/>
      <c r="AO55" s="13"/>
      <c r="AP55" s="13"/>
      <c r="AQ55" s="13"/>
      <c r="AR55" s="13"/>
      <c r="AS55" s="13"/>
      <c r="AT55" s="13"/>
      <c r="AU55" s="4"/>
      <c r="AV55" s="4"/>
      <c r="AW55" s="6"/>
      <c r="AX55" s="6"/>
      <c r="AY55" s="13"/>
      <c r="AZ55" s="13"/>
      <c r="BA55" s="13"/>
      <c r="BB55" s="13"/>
      <c r="BC55" s="13"/>
      <c r="BD55" s="13"/>
      <c r="BE55" s="4"/>
    </row>
    <row r="56" spans="1:57" x14ac:dyDescent="0.3">
      <c r="A56" s="16" t="s">
        <v>5</v>
      </c>
      <c r="B56" s="21">
        <v>3</v>
      </c>
      <c r="C56" s="22">
        <f>SUM(AN56:AP56)</f>
        <v>126</v>
      </c>
      <c r="D56" s="22" t="s">
        <v>29</v>
      </c>
      <c r="E56" s="19">
        <v>46097</v>
      </c>
      <c r="F56" s="19">
        <v>46134</v>
      </c>
      <c r="G56" s="11" t="s">
        <v>22</v>
      </c>
      <c r="H56" s="13"/>
      <c r="I56" s="13"/>
      <c r="J56" s="13"/>
      <c r="K56" s="13"/>
      <c r="L56" s="6" t="s">
        <v>19</v>
      </c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6" t="s">
        <v>19</v>
      </c>
      <c r="AI56" s="13"/>
      <c r="AJ56" s="13"/>
      <c r="AK56" s="13"/>
      <c r="AL56" s="6"/>
      <c r="AM56" s="6"/>
      <c r="AN56" s="10">
        <v>42</v>
      </c>
      <c r="AO56" s="10">
        <v>42</v>
      </c>
      <c r="AP56" s="10">
        <v>42</v>
      </c>
      <c r="AQ56" s="13"/>
      <c r="AR56" s="13"/>
      <c r="AS56" s="13"/>
      <c r="AT56" s="13"/>
      <c r="AU56" s="6" t="s">
        <v>19</v>
      </c>
      <c r="AV56" s="6" t="s">
        <v>19</v>
      </c>
      <c r="AW56" s="6"/>
      <c r="AX56" s="6"/>
      <c r="AY56" s="13"/>
      <c r="AZ56" s="13"/>
      <c r="BA56" s="13"/>
      <c r="BB56" s="13"/>
      <c r="BC56" s="13"/>
      <c r="BD56" s="13"/>
      <c r="BE56" s="6" t="s">
        <v>19</v>
      </c>
    </row>
    <row r="57" spans="1:57" x14ac:dyDescent="0.3">
      <c r="A57" s="16"/>
      <c r="B57" s="21"/>
      <c r="C57" s="23"/>
      <c r="D57" s="23"/>
      <c r="E57" s="20"/>
      <c r="F57" s="20"/>
      <c r="G57" s="11" t="s">
        <v>23</v>
      </c>
      <c r="H57" s="13"/>
      <c r="I57" s="13"/>
      <c r="J57" s="13"/>
      <c r="K57" s="13"/>
      <c r="L57" s="4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4"/>
      <c r="AI57" s="13"/>
      <c r="AJ57" s="13"/>
      <c r="AK57" s="13"/>
      <c r="AL57" s="13"/>
      <c r="AM57" s="13"/>
      <c r="AN57" s="13"/>
      <c r="AO57" s="13"/>
      <c r="AP57" s="13"/>
      <c r="AQ57" s="13"/>
      <c r="AR57" s="6"/>
      <c r="AS57" s="6"/>
      <c r="AT57" s="6"/>
      <c r="AU57" s="4"/>
      <c r="AV57" s="4"/>
      <c r="AW57" s="6"/>
      <c r="AX57" s="6"/>
      <c r="AY57" s="13"/>
      <c r="AZ57" s="13"/>
      <c r="BA57" s="13"/>
      <c r="BB57" s="13"/>
      <c r="BC57" s="13"/>
      <c r="BD57" s="13"/>
      <c r="BE57" s="4"/>
    </row>
    <row r="58" spans="1:57" x14ac:dyDescent="0.3">
      <c r="A58" s="16" t="s">
        <v>6</v>
      </c>
      <c r="B58" s="21">
        <v>3</v>
      </c>
      <c r="C58" s="22">
        <f>SUM(AT58)</f>
        <v>126</v>
      </c>
      <c r="D58" s="22" t="s">
        <v>29</v>
      </c>
      <c r="E58" s="19">
        <v>46097</v>
      </c>
      <c r="F58" s="19">
        <v>46134</v>
      </c>
      <c r="G58" s="11" t="s">
        <v>22</v>
      </c>
      <c r="H58" s="13"/>
      <c r="I58" s="13"/>
      <c r="J58" s="13"/>
      <c r="K58" s="13"/>
      <c r="L58" s="6" t="s">
        <v>19</v>
      </c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6" t="s">
        <v>19</v>
      </c>
      <c r="AI58" s="13"/>
      <c r="AJ58" s="13"/>
      <c r="AK58" s="13"/>
      <c r="AL58" s="13"/>
      <c r="AM58" s="13"/>
      <c r="AN58" s="13"/>
      <c r="AO58" s="13"/>
      <c r="AP58" s="6"/>
      <c r="AR58" s="13"/>
      <c r="AS58" s="13"/>
      <c r="AT58" s="10">
        <v>126</v>
      </c>
      <c r="AU58" s="6" t="s">
        <v>19</v>
      </c>
      <c r="AV58" s="6" t="s">
        <v>19</v>
      </c>
      <c r="AW58" s="6"/>
      <c r="AX58" s="6"/>
      <c r="AY58" s="13"/>
      <c r="AZ58" s="13"/>
      <c r="BA58" s="13"/>
      <c r="BB58" s="13"/>
      <c r="BC58" s="13"/>
      <c r="BD58" s="13"/>
      <c r="BE58" s="6" t="s">
        <v>19</v>
      </c>
    </row>
    <row r="59" spans="1:57" x14ac:dyDescent="0.3">
      <c r="A59" s="16"/>
      <c r="B59" s="21"/>
      <c r="C59" s="23"/>
      <c r="D59" s="23"/>
      <c r="E59" s="20"/>
      <c r="F59" s="20"/>
      <c r="G59" s="11" t="s">
        <v>23</v>
      </c>
      <c r="H59" s="13"/>
      <c r="I59" s="13"/>
      <c r="J59" s="13"/>
      <c r="K59" s="13"/>
      <c r="L59" s="4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4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4"/>
      <c r="AV59" s="4"/>
      <c r="AW59" s="6"/>
      <c r="AX59" s="13"/>
      <c r="AY59" s="13"/>
      <c r="AZ59" s="13"/>
      <c r="BA59" s="13"/>
      <c r="BB59" s="13"/>
      <c r="BC59" s="13"/>
      <c r="BD59" s="13"/>
      <c r="BE59" s="4"/>
    </row>
  </sheetData>
  <mergeCells count="183">
    <mergeCell ref="D48:D49"/>
    <mergeCell ref="D50:D51"/>
    <mergeCell ref="D52:D53"/>
    <mergeCell ref="D54:D55"/>
    <mergeCell ref="D56:D57"/>
    <mergeCell ref="D58:D59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AO2:AT2"/>
    <mergeCell ref="AU2:AZ2"/>
    <mergeCell ref="BA2:BE2"/>
    <mergeCell ref="A4:A5"/>
    <mergeCell ref="B4:B5"/>
    <mergeCell ref="C4:C5"/>
    <mergeCell ref="E4:E5"/>
    <mergeCell ref="F4:F5"/>
    <mergeCell ref="H2:L2"/>
    <mergeCell ref="M2:Q2"/>
    <mergeCell ref="R2:W2"/>
    <mergeCell ref="X2:AC2"/>
    <mergeCell ref="AD2:AH2"/>
    <mergeCell ref="AI2:AN2"/>
    <mergeCell ref="A2:A3"/>
    <mergeCell ref="B2:B3"/>
    <mergeCell ref="C2:C3"/>
    <mergeCell ref="E2:E3"/>
    <mergeCell ref="F2:F3"/>
    <mergeCell ref="G2:G3"/>
    <mergeCell ref="D4:D5"/>
    <mergeCell ref="A6:A7"/>
    <mergeCell ref="B6:B7"/>
    <mergeCell ref="C6:C7"/>
    <mergeCell ref="E6:E7"/>
    <mergeCell ref="F6:F7"/>
    <mergeCell ref="A8:A9"/>
    <mergeCell ref="B8:B9"/>
    <mergeCell ref="C8:C9"/>
    <mergeCell ref="E8:E9"/>
    <mergeCell ref="F8:F9"/>
    <mergeCell ref="D6:D7"/>
    <mergeCell ref="D8:D9"/>
    <mergeCell ref="A12:A13"/>
    <mergeCell ref="B12:B13"/>
    <mergeCell ref="C12:C13"/>
    <mergeCell ref="E12:E13"/>
    <mergeCell ref="F12:F13"/>
    <mergeCell ref="A10:A11"/>
    <mergeCell ref="B10:B11"/>
    <mergeCell ref="C10:C11"/>
    <mergeCell ref="E10:E11"/>
    <mergeCell ref="F10:F11"/>
    <mergeCell ref="D10:D11"/>
    <mergeCell ref="D12:D13"/>
    <mergeCell ref="A14:A15"/>
    <mergeCell ref="B14:B15"/>
    <mergeCell ref="C14:C15"/>
    <mergeCell ref="E14:E15"/>
    <mergeCell ref="F14:F15"/>
    <mergeCell ref="A16:A17"/>
    <mergeCell ref="B16:B17"/>
    <mergeCell ref="C16:C17"/>
    <mergeCell ref="E16:E17"/>
    <mergeCell ref="F16:F17"/>
    <mergeCell ref="D14:D15"/>
    <mergeCell ref="D16:D17"/>
    <mergeCell ref="A18:A19"/>
    <mergeCell ref="B18:B19"/>
    <mergeCell ref="C18:C19"/>
    <mergeCell ref="E18:E19"/>
    <mergeCell ref="F18:F19"/>
    <mergeCell ref="A20:A21"/>
    <mergeCell ref="B20:B21"/>
    <mergeCell ref="C20:C21"/>
    <mergeCell ref="E20:E21"/>
    <mergeCell ref="F20:F21"/>
    <mergeCell ref="D18:D19"/>
    <mergeCell ref="D20:D21"/>
    <mergeCell ref="A24:A25"/>
    <mergeCell ref="B24:B25"/>
    <mergeCell ref="C24:C25"/>
    <mergeCell ref="E24:E25"/>
    <mergeCell ref="F24:F25"/>
    <mergeCell ref="A26:A27"/>
    <mergeCell ref="B26:B27"/>
    <mergeCell ref="C26:C27"/>
    <mergeCell ref="E26:E27"/>
    <mergeCell ref="F26:F27"/>
    <mergeCell ref="A28:A29"/>
    <mergeCell ref="B28:B29"/>
    <mergeCell ref="C28:C29"/>
    <mergeCell ref="E28:E29"/>
    <mergeCell ref="F28:F29"/>
    <mergeCell ref="A30:A31"/>
    <mergeCell ref="B30:B31"/>
    <mergeCell ref="C30:C31"/>
    <mergeCell ref="E30:E31"/>
    <mergeCell ref="F30:F31"/>
    <mergeCell ref="A32:A33"/>
    <mergeCell ref="B32:B33"/>
    <mergeCell ref="C32:C33"/>
    <mergeCell ref="E32:E33"/>
    <mergeCell ref="F32:F33"/>
    <mergeCell ref="A34:A35"/>
    <mergeCell ref="B34:B35"/>
    <mergeCell ref="C34:C35"/>
    <mergeCell ref="E34:E35"/>
    <mergeCell ref="F34:F35"/>
    <mergeCell ref="A36:A37"/>
    <mergeCell ref="B36:B37"/>
    <mergeCell ref="C36:C37"/>
    <mergeCell ref="E36:E37"/>
    <mergeCell ref="F36:F37"/>
    <mergeCell ref="A38:A39"/>
    <mergeCell ref="B38:B39"/>
    <mergeCell ref="C38:C39"/>
    <mergeCell ref="E38:E39"/>
    <mergeCell ref="F38:F39"/>
    <mergeCell ref="F44:F45"/>
    <mergeCell ref="A46:A47"/>
    <mergeCell ref="B46:B47"/>
    <mergeCell ref="C46:C47"/>
    <mergeCell ref="E46:E47"/>
    <mergeCell ref="F46:F47"/>
    <mergeCell ref="A40:A41"/>
    <mergeCell ref="B40:B41"/>
    <mergeCell ref="C40:C41"/>
    <mergeCell ref="E40:E41"/>
    <mergeCell ref="F40:F41"/>
    <mergeCell ref="A42:A43"/>
    <mergeCell ref="B42:B43"/>
    <mergeCell ref="C42:C43"/>
    <mergeCell ref="E42:E43"/>
    <mergeCell ref="F42:F43"/>
    <mergeCell ref="D40:D41"/>
    <mergeCell ref="D42:D43"/>
    <mergeCell ref="D44:D45"/>
    <mergeCell ref="D46:D47"/>
    <mergeCell ref="A58:A59"/>
    <mergeCell ref="B58:B59"/>
    <mergeCell ref="C58:C59"/>
    <mergeCell ref="E58:E59"/>
    <mergeCell ref="F58:F59"/>
    <mergeCell ref="A52:A53"/>
    <mergeCell ref="B52:B53"/>
    <mergeCell ref="C52:C53"/>
    <mergeCell ref="E52:E53"/>
    <mergeCell ref="F52:F53"/>
    <mergeCell ref="A54:A55"/>
    <mergeCell ref="B54:B55"/>
    <mergeCell ref="C54:C55"/>
    <mergeCell ref="E54:E55"/>
    <mergeCell ref="F54:F55"/>
    <mergeCell ref="A22:A23"/>
    <mergeCell ref="B22:B23"/>
    <mergeCell ref="C22:C23"/>
    <mergeCell ref="E22:E23"/>
    <mergeCell ref="F22:F23"/>
    <mergeCell ref="A56:A57"/>
    <mergeCell ref="B56:B57"/>
    <mergeCell ref="C56:C57"/>
    <mergeCell ref="E56:E57"/>
    <mergeCell ref="F56:F57"/>
    <mergeCell ref="A50:A51"/>
    <mergeCell ref="B50:B51"/>
    <mergeCell ref="C50:C51"/>
    <mergeCell ref="E50:E51"/>
    <mergeCell ref="F50:F51"/>
    <mergeCell ref="A48:A49"/>
    <mergeCell ref="B48:B49"/>
    <mergeCell ref="C48:C49"/>
    <mergeCell ref="E48:E49"/>
    <mergeCell ref="F48:F49"/>
    <mergeCell ref="A44:A45"/>
    <mergeCell ref="B44:B45"/>
    <mergeCell ref="C44:C45"/>
    <mergeCell ref="E44:E4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VM43</dc:creator>
  <cp:lastModifiedBy>Eliakim Rocha</cp:lastModifiedBy>
  <dcterms:created xsi:type="dcterms:W3CDTF">2026-02-27T14:51:14Z</dcterms:created>
  <dcterms:modified xsi:type="dcterms:W3CDTF">2026-03-24T11:00:34Z</dcterms:modified>
</cp:coreProperties>
</file>